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ien\Documents\IBM\Afritech\"/>
    </mc:Choice>
  </mc:AlternateContent>
  <xr:revisionPtr revIDLastSave="0" documentId="13_ncr:1_{33BB4598-E962-4A7B-B23B-B31EAB4C7720}" xr6:coauthVersionLast="47" xr6:coauthVersionMax="47" xr10:uidLastSave="{00000000-0000-0000-0000-000000000000}"/>
  <bookViews>
    <workbookView xWindow="-108" yWindow="-108" windowWidth="23256" windowHeight="12456" xr2:uid="{ABA14A14-0DF8-4EBF-9A6A-11556A386E77}"/>
  </bookViews>
  <sheets>
    <sheet name="Sheet1" sheetId="1" r:id="rId1"/>
    <sheet name="Answer Report 1" sheetId="2" r:id="rId2"/>
    <sheet name="Sensitivity Report 1" sheetId="3" r:id="rId3"/>
  </sheets>
  <definedNames>
    <definedName name="solver_adj" localSheetId="0" hidden="1">Sheet1!$B$27:$B$28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Sheet1!$B$25</definedName>
    <definedName name="solver_lhs2" localSheetId="0" hidden="1">Sheet1!$B$27:$B$28</definedName>
    <definedName name="solver_lhs3" localSheetId="0" hidden="1">Sheet1!$B$33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Sheet1!$D$29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1</definedName>
    <definedName name="solver_rhs1" localSheetId="0" hidden="1">500</definedName>
    <definedName name="solver_rhs2" localSheetId="0" hidden="1">0</definedName>
    <definedName name="solver_rhs3" localSheetId="0" hidden="1">100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1" l="1"/>
  <c r="B33" i="1"/>
  <c r="D28" i="1"/>
  <c r="D27" i="1"/>
  <c r="C23" i="1" a="1"/>
  <c r="C23" i="1"/>
  <c r="D15" i="1" a="1"/>
  <c r="D15" i="1"/>
  <c r="E2" i="1" a="1"/>
  <c r="E2" i="1"/>
  <c r="E1" i="1" a="1"/>
  <c r="E1" i="1"/>
  <c r="C13" i="1" a="1"/>
  <c r="C13" i="1" s="1"/>
  <c r="D2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<sst xmlns="http://schemas.openxmlformats.org/spreadsheetml/2006/main" count="177" uniqueCount="119">
  <si>
    <t>East</t>
  </si>
  <si>
    <t>Widget A</t>
  </si>
  <si>
    <t>West</t>
  </si>
  <si>
    <t>Widget B</t>
  </si>
  <si>
    <t>Sales</t>
  </si>
  <si>
    <t>Product</t>
  </si>
  <si>
    <t>Region</t>
  </si>
  <si>
    <t> total sales for "Widget A" in "East" region</t>
  </si>
  <si>
    <t>Marketing</t>
  </si>
  <si>
    <t xml:space="preserve"> Department</t>
  </si>
  <si>
    <t>Score</t>
  </si>
  <si>
    <t>{=SUM(IF(MONTH(dates)=1, (price*quantity)*tax_rate, 0))}</t>
  </si>
  <si>
    <t>This is needed when:</t>
  </si>
  <si>
    <t>2nd highest score in Marketing</t>
  </si>
  <si>
    <t>PART 2: SOLVER PROFIT MODEL</t>
  </si>
  <si>
    <t>Quantity</t>
  </si>
  <si>
    <t>Profit per Unit</t>
  </si>
  <si>
    <t>Total Profit</t>
  </si>
  <si>
    <t>Product X</t>
  </si>
  <si>
    <t>Product Y</t>
  </si>
  <si>
    <t>TOTAL PROFIT:</t>
  </si>
  <si>
    <t>CONSTRAINTS</t>
  </si>
  <si>
    <t>Resource</t>
  </si>
  <si>
    <t>Usage</t>
  </si>
  <si>
    <t>Limit</t>
  </si>
  <si>
    <t>Labor Hours</t>
  </si>
  <si>
    <t>Material A</t>
  </si>
  <si>
    <t>Microsoft Excel 16.0 Answer Report</t>
  </si>
  <si>
    <t>Worksheet: [Book1]Sheet1</t>
  </si>
  <si>
    <t>Report Created: 3/2/2026 5:39:55 PM</t>
  </si>
  <si>
    <t>Result: Solver found a solution.  All Constraints and optimality conditions are satisfied.</t>
  </si>
  <si>
    <t>Solver Engine</t>
  </si>
  <si>
    <t>Engine: Simplex LP</t>
  </si>
  <si>
    <t>Solution Time: 0.015 Seconds.</t>
  </si>
  <si>
    <t>Iterations: 2 Subproblems: 0</t>
  </si>
  <si>
    <t>Solver Options</t>
  </si>
  <si>
    <t>Max Time Unlimited,  Iterations Unlimited, Precision 0.000001, Use Automatic Scaling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</si>
  <si>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</si>
  <si>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</si>
  <si>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</si>
  <si>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</si>
  <si>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</si>
  <si>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</si>
  <si>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</si>
  <si>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</si>
  <si>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</si>
  <si>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</si>
  <si>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</si>
  <si>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</si>
  <si>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</si>
  <si>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$D$29</t>
  </si>
  <si>
    <t>TOTAL PROFIT: Total Profit</t>
  </si>
  <si>
    <t>$B$27</t>
  </si>
  <si>
    <t>Product X Quantity</t>
  </si>
  <si>
    <t>Contin</t>
  </si>
  <si>
    <t>$B$28</t>
  </si>
  <si>
    <t>Product Y Quantity</t>
  </si>
  <si>
    <t>$B$25</t>
  </si>
  <si>
    <t>PART 2: SOLVER PROFIT MODEL Score</t>
  </si>
  <si>
    <t>$B$25&lt;=500</t>
  </si>
  <si>
    <t>Not Binding</t>
  </si>
  <si>
    <t>$B$33</t>
  </si>
  <si>
    <t>Labor Hours Usage</t>
  </si>
  <si>
    <t>$B$33&lt;=100</t>
  </si>
  <si>
    <t>Binding</t>
  </si>
  <si>
    <t>$B$27&gt;=0</t>
  </si>
  <si>
    <t>$B$28&gt;=0</t>
  </si>
  <si>
    <t>Microsoft Excel 16.0 Sensitivity Report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</si>
  <si>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</si>
  <si>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</si>
  <si>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</si>
  <si>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</si>
  <si>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</si>
  <si>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</si>
  <si>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</si>
  <si>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</si>
  <si>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</si>
  <si>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</si>
  <si>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</si>
  <si>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</si>
  <si>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</si>
  <si>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Part 2, Question 1: Solver Engine Selection</t>
  </si>
  <si>
    <t>a. Maximizing profit from product mix:</t>
  </si>
  <si>
    <t>Simplex LP - Linear relationships, constant rates</t>
  </si>
  <si>
    <t>b. Minimizing cost with SQRT constraint:</t>
  </si>
  <si>
    <t>GRG Nonlinear - SQRT is nonlinear</t>
  </si>
  <si>
    <t>c. Employee scheduling with IF statement:</t>
  </si>
  <si>
    <t>Evolutionary - IF creates discontinuities</t>
  </si>
  <si>
    <t>PART 2: Solver</t>
  </si>
  <si>
    <t>Q1: Solver Engine Selection</t>
  </si>
  <si>
    <t>Scenario</t>
  </si>
  <si>
    <t>Engine</t>
  </si>
  <si>
    <t>Reason</t>
  </si>
  <si>
    <t>Product mix (linear)</t>
  </si>
  <si>
    <t>Simplex LP</t>
  </si>
  <si>
    <t>Linear relationships, constant rates</t>
  </si>
  <si>
    <t>Cost with SQRT</t>
  </si>
  <si>
    <t>GRG Nonlinear</t>
  </si>
  <si>
    <t>SQRT creates nonlinearity</t>
  </si>
  <si>
    <t>Scheduling with IF</t>
  </si>
  <si>
    <t>Evolutionary</t>
  </si>
  <si>
    <t>IF creates discontinuities</t>
  </si>
  <si>
    <t>Q2: Interpreting Solver Reports</t>
  </si>
  <si>
    <r>
      <t>a. Limiting constraint:</t>
    </r>
    <r>
      <rPr>
        <sz val="10"/>
        <color rgb="FF0F1115"/>
        <rFont val="Segoe UI"/>
        <family val="2"/>
      </rPr>
      <t> </t>
    </r>
    <r>
      <rPr>
        <sz val="10"/>
        <color rgb="FF0F1115"/>
        <rFont val="Segoe UI"/>
        <family val="2"/>
      </rPr>
      <t>Labor Hours</t>
    </r>
  </si>
  <si>
    <t>Binding status, Slack = 0 (all 100 hours used)</t>
  </si>
  <si>
    <t>Material has Slack = 500 (not limiting)</t>
  </si>
  <si>
    <t>b. Net impact of 1 more labor hour @ $20:</t>
  </si>
  <si>
    <t>Shadow Price = $15</t>
  </si>
  <si>
    <r>
      <t>Net = $15 - $20 = </t>
    </r>
    <r>
      <rPr>
        <sz val="10"/>
        <color rgb="FF0F1115"/>
        <rFont val="Segoe UI"/>
        <family val="2"/>
      </rPr>
      <t>-$5 (LOSS)</t>
    </r>
  </si>
  <si>
    <t>Do not acquire</t>
  </si>
  <si>
    <t>c. Additional hours before mix changes:</t>
  </si>
  <si>
    <r>
      <t>Allowable Increase = </t>
    </r>
    <r>
      <rPr>
        <sz val="10"/>
        <color rgb="FF0F1115"/>
        <rFont val="Segoe UI"/>
        <family val="2"/>
      </rPr>
      <t>Unlimited</t>
    </r>
    <r>
      <rPr>
        <sz val="10"/>
        <color rgb="FF0F1115"/>
        <rFont val="Segoe UI"/>
        <family val="2"/>
      </rPr>
      <t> (1E+30)</t>
    </r>
  </si>
  <si>
    <t>Optimal mix (50 X, 0 Y) remains same</t>
  </si>
  <si>
    <t>Shadow price stays $15 indefinitely</t>
  </si>
  <si>
    <t>One scenario where traditional CSE array formulas are still needed is when you need to perform complex calculations that require array operations before aggregating, such as:</t>
  </si>
  <si>
    <t>Modern functions like FILTER or SUMIFS can't handle the intermediate array calculations</t>
  </si>
  <si>
    <t>You need to create temporary arrays for complex mathematical operations</t>
  </si>
  <si>
    <t>Working with legacy spreadsheets that must maintain compatibility with older Excel versions</t>
  </si>
  <si>
    <t>1. THEORETICAL INSIGHT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</si>
</sst>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F1115"/>
      <name val="Consolas"/>
      <family val="3"/>
    </font>
    <font>
      <sz val="10"/>
      <color rgb="FF0F1115"/>
      <name val="Calibri"/>
      <family val="2"/>
      <scheme val="minor"/>
    </font>
    <font>
      <sz val="10"/>
      <color rgb="FF0F1115"/>
      <name val="Segoe UI"/>
      <family val="2"/>
    </font>
    <font>
      <sz val="9"/>
      <color rgb="FF0F1115"/>
      <name val="Segoe UI"/>
      <family val="2"/>
    </font>
    <font>
      <sz val="10"/>
      <color rgb="FF0F1115"/>
      <name val="Consolas"/>
      <family val="3"/>
    </font>
    <font>
      <sz val="12"/>
      <color rgb="FF0F1115"/>
      <name val="Calibri"/>
      <family val="2"/>
      <scheme val="minor"/>
    </font>
    <font>
      <b/>
      <sz val="12"/>
      <color rgb="FF0F1115"/>
      <name val="Segoe UI"/>
      <family val="2"/>
    </font>
    <font>
      <sz val="10"/>
      <color rgb="FF0F1115"/>
      <name val="Segoe UI"/>
      <family val="2"/>
    </font>
    <font>
      <sz val="11"/>
      <color theme="1"/>
      <name val="Times New Roman"/>
      <family val="1"/>
    </font>
    <font>
      <sz val="9"/>
      <color rgb="FF0F1115"/>
      <name val="Segoe UI"/>
      <family val="2"/>
    </font>
    <font>
      <b/>
      <sz val="11"/>
      <color indexed="18"/>
      <name val="Calibri"/>
      <family val="2"/>
      <scheme val="minor"/>
    </font>
    <font>
      <b/>
      <sz val="13"/>
      <color rgb="FF0F1115"/>
      <name val="Segoe UI"/>
      <family val="2"/>
    </font>
    <font>
      <i/>
      <sz val="10"/>
      <color rgb="FF0F1115"/>
      <name val="Segoe UI"/>
      <family val="2"/>
    </font>
    <font>
      <sz val="9"/>
      <color theme="1"/>
      <name val="Segoe UI"/>
      <family val="2"/>
    </font>
    <font>
      <sz val="9"/>
      <color theme="1"/>
      <name val="Segoe UI"/>
      <family val="2"/>
    </font>
    <font>
      <sz val="9"/>
      <color theme="1"/>
      <name val="Segoe UI"/>
      <family val="2"/>
    </font>
    <font>
      <i/>
      <sz val="9"/>
      <color rgb="FF0F1115"/>
      <name val="Segoe UI"/>
      <family val="2"/>
    </font>
    <font>
      <i/>
      <sz val="8"/>
      <color rgb="FF0F111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0" fontId="2" fillId="0" borderId="0" xfId="0" applyFont="1"/>
    <xf numFmtId="0" fontId="5" fillId="0" borderId="0" xfId="0" applyFont="1"/>
    <xf numFmtId="0" fontId="11" fillId="0" borderId="0" xfId="0" applyFont="1"/>
    <xf numFmtId="0" fontId="1" fillId="0" borderId="0" xfId="0" applyFont="1"/>
    <xf numFmtId="0" fontId="0" fillId="0" borderId="4" xfId="0" applyFill="1" applyBorder="1" applyAlignment="1"/>
    <xf numFmtId="0" fontId="12" fillId="0" borderId="3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12" fillId="0" borderId="1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0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0" fontId="19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vertical="center" indent="1"/>
    </xf>
    <xf numFmtId="0" fontId="18" fillId="2" borderId="0" xfId="0" applyFont="1" applyFill="1" applyAlignment="1">
      <alignment horizontal="center"/>
    </xf>
    <xf numFmtId="0" fontId="7" fillId="2" borderId="0" xfId="0" applyFont="1" applyFill="1" applyAlignment="1">
      <alignment horizontal="left" vertical="center" indent="1"/>
    </xf>
    <xf numFmtId="0" fontId="10" fillId="3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wrapText="1"/>
    </xf>
    <xf numFmtId="0" fontId="10" fillId="3" borderId="0" xfId="0" applyFont="1" applyFill="1" applyAlignment="1">
      <alignment horizontal="left" vertical="top" wrapText="1"/>
    </xf>
    <xf numFmtId="0" fontId="0" fillId="3" borderId="0" xfId="0" applyFill="1" applyAlignment="1">
      <alignment vertical="top"/>
    </xf>
    <xf numFmtId="0" fontId="0" fillId="3" borderId="0" xfId="0" applyFill="1"/>
    <xf numFmtId="0" fontId="13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15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0" fontId="0" fillId="3" borderId="0" xfId="0" applyFill="1" applyAlignment="1"/>
    <xf numFmtId="0" fontId="4" fillId="3" borderId="0" xfId="0" applyFont="1" applyFill="1" applyAlignment="1">
      <alignment vertical="center"/>
    </xf>
    <xf numFmtId="0" fontId="9" fillId="3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/>
    </xf>
    <xf numFmtId="0" fontId="11" fillId="3" borderId="0" xfId="0" applyFont="1" applyFill="1" applyAlignment="1">
      <alignment wrapText="1"/>
    </xf>
  </cellXfs>
  <cellStyles count="1">
    <cellStyle name="Normal" xfId="0" builtinId="0"/>
  </cellStyles>
  <dxfs count="20">
    <dxf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</dxf>
    <dxf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CC1E81-AC54-49C2-AF27-B34634DC2569}" name="Table1" displayName="Table1" ref="G13:I16" totalsRowShown="0" headerRowDxfId="1" dataDxfId="0">
  <autoFilter ref="G13:I16" xr:uid="{A8CC1E81-AC54-49C2-AF27-B34634DC2569}"/>
  <tableColumns count="3">
    <tableColumn id="1" xr3:uid="{55EA24FA-7B03-4AF4-B0F8-655294992A10}" name="Scenario" dataDxfId="4"/>
    <tableColumn id="2" xr3:uid="{97133033-F747-4609-A8EE-6A04D66A7C2A}" name="Engine" dataDxfId="3"/>
    <tableColumn id="3" xr3:uid="{4780454C-D011-444F-85E7-958E42593EE6}" name="Reason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EA3B15-FB1D-44E3-8E66-8D015C11396C}" name="Table2" displayName="Table2" ref="A1:C11" totalsRowShown="0" headerRowDxfId="15" dataDxfId="16">
  <autoFilter ref="A1:C11" xr:uid="{82EA3B15-FB1D-44E3-8E66-8D015C11396C}"/>
  <tableColumns count="3">
    <tableColumn id="1" xr3:uid="{C66CD95B-4822-4458-95C4-5F5082CB2032}" name="Region" dataDxfId="19"/>
    <tableColumn id="2" xr3:uid="{2FBE611B-D1EC-4347-B146-0C5756BF88B4}" name="Product" dataDxfId="18"/>
    <tableColumn id="3" xr3:uid="{C52BC9D8-2F2A-4ACB-B408-A2F613F60D62}" name="Sales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3DAECE-AC2B-4CE6-B6A3-0C6C6346E7FB}" name="Table3" displayName="Table3" ref="A15:B21" totalsRowShown="0" headerRowDxfId="11" dataDxfId="12">
  <autoFilter ref="A15:B21" xr:uid="{ED3DAECE-AC2B-4CE6-B6A3-0C6C6346E7FB}"/>
  <tableColumns count="2">
    <tableColumn id="1" xr3:uid="{415A0FDB-BCF9-4F73-9DF1-6902DFB95B86}" name=" Department" dataDxfId="14"/>
    <tableColumn id="2" xr3:uid="{049EFAEE-412D-44FF-B413-24F65C52F5CB}" name="Score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86798E-3958-4CAD-A889-16F3BC08CAF2}" name="Table4" displayName="Table4" ref="A26:D29" totalsRowShown="0" headerRowDxfId="10">
  <autoFilter ref="A26:D29" xr:uid="{BE86798E-3958-4CAD-A889-16F3BC08CAF2}"/>
  <tableColumns count="4">
    <tableColumn id="1" xr3:uid="{739175BD-B9CB-4C7E-85D3-73767D3BD92A}" name="Product"/>
    <tableColumn id="2" xr3:uid="{0B95D900-15CC-4CA2-83A5-58176C71EE99}" name="Quantity"/>
    <tableColumn id="3" xr3:uid="{A3F50DC7-40EA-4F18-BD8F-9300C9E3BD09}" name="Profit per Unit"/>
    <tableColumn id="4" xr3:uid="{1704CAA6-29B9-440E-B184-9A688D861B75}" name="Total Profi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81FBF0-B8BC-4571-AA09-867E480ED036}" name="Table5" displayName="Table5" ref="A32:C34" totalsRowShown="0" headerRowDxfId="5" dataDxfId="6">
  <autoFilter ref="A32:C34" xr:uid="{B481FBF0-B8BC-4571-AA09-867E480ED036}"/>
  <tableColumns count="3">
    <tableColumn id="1" xr3:uid="{BCA3A2AB-E6E5-42D1-83A9-BFBC078318C6}" name="Resource" dataDxfId="9"/>
    <tableColumn id="2" xr3:uid="{870AE499-8E2C-43A4-9EEF-0000A119FD91}" name="Usage" dataDxfId="8">
      <calculatedColumnFormula>4*B26+2*B27</calculatedColumnFormula>
    </tableColumn>
    <tableColumn id="3" xr3:uid="{D7ADC09A-8E6B-4775-AA86-321FE7D86DBD}" name="Limit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2FED-6317-4E55-B6B7-840CD3585340}">
  <dimension ref="A1:S39"/>
  <sheetViews>
    <sheetView tabSelected="1" topLeftCell="A7" workbookViewId="0">
      <selection activeCell="F37" sqref="F37"/>
    </sheetView>
  </sheetViews>
  <sheetFormatPr defaultRowHeight="14.4" x14ac:dyDescent="0.3"/>
  <cols>
    <col min="1" max="1" width="14.77734375" customWidth="1"/>
    <col min="2" max="2" width="17.44140625" customWidth="1"/>
    <col min="3" max="3" width="16.44140625" customWidth="1"/>
    <col min="4" max="4" width="12.44140625" customWidth="1"/>
    <col min="7" max="7" width="42.5546875" bestFit="1" customWidth="1"/>
    <col min="8" max="8" width="13.44140625" bestFit="1" customWidth="1"/>
    <col min="9" max="9" width="26.44140625" bestFit="1" customWidth="1"/>
  </cols>
  <sheetData>
    <row r="1" spans="1:19" s="18" customFormat="1" ht="14.4" customHeight="1" x14ac:dyDescent="0.3">
      <c r="A1" s="16" t="s">
        <v>6</v>
      </c>
      <c r="B1" s="16" t="s">
        <v>5</v>
      </c>
      <c r="C1" s="16" t="s">
        <v>4</v>
      </c>
      <c r="D1" s="17"/>
      <c r="E1" s="18">
        <f t="array" ref="E1">SUM(IF((A2:A11="East")*(B2:B11="Widget A"),C2:C11,0))</f>
        <v>500</v>
      </c>
      <c r="F1" s="14"/>
      <c r="G1" s="24" t="s">
        <v>118</v>
      </c>
      <c r="H1" s="24"/>
      <c r="I1" s="24"/>
      <c r="J1" s="24"/>
      <c r="K1" s="24"/>
      <c r="L1" s="24"/>
      <c r="M1" s="24"/>
      <c r="N1" s="24"/>
      <c r="O1" s="25"/>
      <c r="P1" s="25"/>
      <c r="Q1" s="25"/>
      <c r="R1" s="26"/>
      <c r="S1" s="26"/>
    </row>
    <row r="2" spans="1:19" s="18" customFormat="1" ht="16.2" customHeight="1" x14ac:dyDescent="0.3">
      <c r="A2" s="16" t="s">
        <v>0</v>
      </c>
      <c r="B2" s="16" t="s">
        <v>1</v>
      </c>
      <c r="C2" s="16">
        <v>100</v>
      </c>
      <c r="E2" s="18" cm="1">
        <f t="array" ref="E2">SUMPRODUCT((A2:A11="East")*(B2:B11="Widget A")*C2:C11)</f>
        <v>500</v>
      </c>
      <c r="F2" s="14"/>
      <c r="G2" s="27" t="s">
        <v>114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s="18" customFormat="1" ht="16.8" customHeight="1" x14ac:dyDescent="0.3">
      <c r="A3" s="16" t="s">
        <v>2</v>
      </c>
      <c r="B3" s="16" t="s">
        <v>1</v>
      </c>
      <c r="C3" s="16">
        <v>150</v>
      </c>
      <c r="F3" s="14"/>
      <c r="G3" s="27" t="s">
        <v>11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19" s="18" customFormat="1" x14ac:dyDescent="0.3">
      <c r="A4" s="16" t="s">
        <v>0</v>
      </c>
      <c r="B4" s="16" t="s">
        <v>3</v>
      </c>
      <c r="C4" s="16">
        <v>200</v>
      </c>
      <c r="F4" s="14"/>
      <c r="G4" s="24" t="s">
        <v>12</v>
      </c>
      <c r="H4" s="24"/>
      <c r="I4" s="24"/>
      <c r="J4" s="24"/>
      <c r="K4" s="24"/>
      <c r="L4" s="24"/>
      <c r="M4" s="24"/>
      <c r="N4" s="24"/>
      <c r="O4" s="25"/>
      <c r="P4" s="25"/>
      <c r="Q4" s="25"/>
      <c r="R4" s="26"/>
      <c r="S4" s="26"/>
    </row>
    <row r="5" spans="1:19" s="18" customFormat="1" ht="14.4" customHeight="1" x14ac:dyDescent="0.3">
      <c r="A5" s="16" t="s">
        <v>2</v>
      </c>
      <c r="B5" s="16" t="s">
        <v>3</v>
      </c>
      <c r="C5" s="16">
        <v>120</v>
      </c>
      <c r="F5" s="14"/>
      <c r="G5" s="27" t="s">
        <v>115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</row>
    <row r="6" spans="1:19" s="18" customFormat="1" ht="15" customHeight="1" x14ac:dyDescent="0.3">
      <c r="A6" s="16" t="s">
        <v>0</v>
      </c>
      <c r="B6" s="16" t="s">
        <v>1</v>
      </c>
      <c r="C6" s="16">
        <v>175</v>
      </c>
      <c r="F6" s="14"/>
      <c r="G6" s="27" t="s">
        <v>116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</row>
    <row r="7" spans="1:19" s="18" customFormat="1" ht="17.399999999999999" customHeight="1" x14ac:dyDescent="0.3">
      <c r="A7" s="16" t="s">
        <v>2</v>
      </c>
      <c r="B7" s="16" t="s">
        <v>1</v>
      </c>
      <c r="C7" s="16">
        <v>90</v>
      </c>
      <c r="F7" s="14"/>
      <c r="G7" s="27" t="s">
        <v>117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</row>
    <row r="8" spans="1:19" x14ac:dyDescent="0.3">
      <c r="A8" s="2" t="s">
        <v>0</v>
      </c>
      <c r="B8" s="2" t="s">
        <v>3</v>
      </c>
      <c r="C8" s="2">
        <v>210</v>
      </c>
      <c r="F8" s="14"/>
      <c r="G8" s="24"/>
      <c r="H8" s="24"/>
      <c r="I8" s="24"/>
      <c r="J8" s="24"/>
      <c r="K8" s="24"/>
      <c r="L8" s="24"/>
      <c r="M8" s="24"/>
      <c r="N8" s="24"/>
      <c r="O8" s="28"/>
      <c r="P8" s="28"/>
      <c r="Q8" s="28"/>
      <c r="R8" s="29"/>
      <c r="S8" s="29"/>
    </row>
    <row r="9" spans="1:19" x14ac:dyDescent="0.3">
      <c r="A9" s="2" t="s">
        <v>2</v>
      </c>
      <c r="B9" s="2" t="s">
        <v>3</v>
      </c>
      <c r="C9" s="2">
        <v>180</v>
      </c>
      <c r="E9" s="3"/>
      <c r="F9" s="14"/>
      <c r="G9" s="24"/>
      <c r="H9" s="24"/>
      <c r="I9" s="24"/>
      <c r="J9" s="24"/>
      <c r="K9" s="24"/>
      <c r="L9" s="24"/>
      <c r="M9" s="24"/>
      <c r="N9" s="24"/>
      <c r="O9" s="28"/>
      <c r="P9" s="28"/>
      <c r="Q9" s="28"/>
      <c r="R9" s="29"/>
      <c r="S9" s="29"/>
    </row>
    <row r="10" spans="1:19" x14ac:dyDescent="0.3">
      <c r="A10" s="2" t="s">
        <v>0</v>
      </c>
      <c r="B10" s="2" t="s">
        <v>1</v>
      </c>
      <c r="C10" s="2">
        <v>225</v>
      </c>
      <c r="F10" s="14"/>
      <c r="G10" s="24"/>
      <c r="H10" s="24"/>
      <c r="I10" s="24"/>
      <c r="J10" s="24"/>
      <c r="K10" s="24"/>
      <c r="L10" s="24"/>
      <c r="M10" s="24"/>
      <c r="N10" s="24"/>
      <c r="O10" s="28"/>
      <c r="P10" s="28"/>
      <c r="Q10" s="28"/>
      <c r="R10" s="29"/>
      <c r="S10" s="29"/>
    </row>
    <row r="11" spans="1:19" ht="19.8" x14ac:dyDescent="0.3">
      <c r="A11" s="2" t="s">
        <v>2</v>
      </c>
      <c r="B11" s="2" t="s">
        <v>3</v>
      </c>
      <c r="C11" s="2">
        <v>160</v>
      </c>
      <c r="F11" s="15"/>
      <c r="G11" s="30" t="s">
        <v>88</v>
      </c>
      <c r="H11" s="29"/>
      <c r="I11" s="29"/>
      <c r="J11" s="28"/>
      <c r="K11" s="28"/>
      <c r="L11" s="28"/>
      <c r="M11" s="28"/>
      <c r="N11" s="28"/>
      <c r="O11" s="28"/>
      <c r="P11" s="28"/>
      <c r="Q11" s="28"/>
      <c r="R11" s="29"/>
      <c r="S11" s="29"/>
    </row>
    <row r="12" spans="1:19" ht="19.2" x14ac:dyDescent="0.3">
      <c r="F12" s="15"/>
      <c r="G12" s="31" t="s">
        <v>89</v>
      </c>
      <c r="H12" s="29"/>
      <c r="I12" s="29"/>
      <c r="J12" s="28"/>
      <c r="K12" s="28"/>
      <c r="L12" s="28"/>
      <c r="M12" s="28"/>
      <c r="N12" s="28"/>
      <c r="O12" s="28"/>
      <c r="P12" s="28"/>
      <c r="Q12" s="28"/>
      <c r="R12" s="29"/>
      <c r="S12" s="29"/>
    </row>
    <row r="13" spans="1:19" x14ac:dyDescent="0.3">
      <c r="A13" s="20" t="s">
        <v>7</v>
      </c>
      <c r="B13" s="20"/>
      <c r="C13" s="21" cm="1">
        <f t="array" ref="C13">SUM(IF((A2:A11="East")*(B2:B11="Widget A"),C2:C11,0))</f>
        <v>500</v>
      </c>
      <c r="F13" s="15"/>
      <c r="G13" s="32" t="s">
        <v>90</v>
      </c>
      <c r="H13" s="32" t="s">
        <v>91</v>
      </c>
      <c r="I13" s="32" t="s">
        <v>92</v>
      </c>
      <c r="J13" s="28"/>
      <c r="K13" s="28"/>
      <c r="L13" s="28"/>
      <c r="M13" s="28"/>
      <c r="N13" s="28"/>
      <c r="O13" s="28"/>
      <c r="P13" s="28"/>
      <c r="Q13" s="28"/>
      <c r="R13" s="29"/>
      <c r="S13" s="29"/>
    </row>
    <row r="14" spans="1:19" ht="15" customHeight="1" x14ac:dyDescent="0.3">
      <c r="G14" s="33" t="s">
        <v>93</v>
      </c>
      <c r="H14" s="34" t="s">
        <v>94</v>
      </c>
      <c r="I14" s="33" t="s">
        <v>95</v>
      </c>
      <c r="J14" s="29"/>
      <c r="K14" s="29"/>
      <c r="L14" s="29"/>
      <c r="M14" s="29"/>
      <c r="N14" s="29"/>
      <c r="O14" s="29"/>
      <c r="P14" s="29"/>
      <c r="Q14" s="29"/>
      <c r="R14" s="29"/>
      <c r="S14" s="29"/>
    </row>
    <row r="15" spans="1:19" x14ac:dyDescent="0.3">
      <c r="A15" s="1" t="s">
        <v>9</v>
      </c>
      <c r="B15" s="1" t="s">
        <v>10</v>
      </c>
      <c r="D15">
        <f t="array" ref="D15">LARGE(IF(A15:A20="Marketing",B15:B20),2)</f>
        <v>85</v>
      </c>
      <c r="G15" s="33" t="s">
        <v>96</v>
      </c>
      <c r="H15" s="34" t="s">
        <v>97</v>
      </c>
      <c r="I15" s="33" t="s">
        <v>98</v>
      </c>
      <c r="J15" s="29"/>
      <c r="K15" s="29"/>
      <c r="L15" s="29"/>
      <c r="M15" s="29"/>
      <c r="N15" s="29"/>
      <c r="O15" s="29"/>
      <c r="P15" s="29"/>
      <c r="Q15" s="29"/>
      <c r="R15" s="29"/>
      <c r="S15" s="29"/>
    </row>
    <row r="16" spans="1:19" x14ac:dyDescent="0.3">
      <c r="A16" s="1" t="s">
        <v>8</v>
      </c>
      <c r="B16" s="1">
        <v>85</v>
      </c>
      <c r="G16" s="33" t="s">
        <v>99</v>
      </c>
      <c r="H16" s="34" t="s">
        <v>100</v>
      </c>
      <c r="I16" s="33" t="s">
        <v>101</v>
      </c>
      <c r="J16" s="29"/>
      <c r="K16" s="29"/>
      <c r="L16" s="29"/>
      <c r="M16" s="29"/>
      <c r="N16" s="29"/>
      <c r="O16" s="29"/>
      <c r="P16" s="29"/>
      <c r="Q16" s="29"/>
      <c r="R16" s="29"/>
      <c r="S16" s="29"/>
    </row>
    <row r="17" spans="1:19" x14ac:dyDescent="0.3">
      <c r="A17" s="1" t="s">
        <v>4</v>
      </c>
      <c r="B17" s="1">
        <v>92</v>
      </c>
      <c r="G17" s="35"/>
      <c r="H17" s="35"/>
      <c r="I17" s="35"/>
      <c r="J17" s="29"/>
      <c r="K17" s="29"/>
      <c r="L17" s="29"/>
      <c r="M17" s="29"/>
      <c r="N17" s="29"/>
      <c r="O17" s="29"/>
      <c r="P17" s="29"/>
      <c r="Q17" s="29"/>
      <c r="R17" s="29"/>
      <c r="S17" s="29"/>
    </row>
    <row r="18" spans="1:19" ht="19.2" x14ac:dyDescent="0.3">
      <c r="A18" s="1" t="s">
        <v>8</v>
      </c>
      <c r="B18" s="1">
        <v>78</v>
      </c>
      <c r="G18" s="31" t="s">
        <v>102</v>
      </c>
      <c r="H18" s="35"/>
      <c r="I18" s="35"/>
      <c r="J18" s="29"/>
      <c r="K18" s="29"/>
      <c r="L18" s="29"/>
      <c r="M18" s="29"/>
      <c r="N18" s="29"/>
      <c r="O18" s="29"/>
      <c r="P18" s="29"/>
      <c r="Q18" s="29"/>
      <c r="R18" s="29"/>
      <c r="S18" s="29"/>
    </row>
    <row r="19" spans="1:19" ht="15" x14ac:dyDescent="0.3">
      <c r="A19" s="1" t="s">
        <v>8</v>
      </c>
      <c r="B19" s="1">
        <v>95</v>
      </c>
      <c r="G19" s="36" t="s">
        <v>103</v>
      </c>
      <c r="H19" s="35"/>
      <c r="I19" s="35"/>
      <c r="J19" s="29"/>
      <c r="K19" s="29"/>
      <c r="L19" s="29"/>
      <c r="M19" s="29"/>
      <c r="N19" s="29"/>
      <c r="O19" s="29"/>
      <c r="P19" s="29"/>
      <c r="Q19" s="29"/>
      <c r="R19" s="29"/>
      <c r="S19" s="29"/>
    </row>
    <row r="20" spans="1:19" ht="15" x14ac:dyDescent="0.3">
      <c r="A20" s="1" t="s">
        <v>4</v>
      </c>
      <c r="B20" s="1">
        <v>88</v>
      </c>
      <c r="G20" s="37" t="s">
        <v>104</v>
      </c>
      <c r="H20" s="35"/>
      <c r="I20" s="35"/>
      <c r="J20" s="29"/>
      <c r="K20" s="29"/>
      <c r="L20" s="29"/>
      <c r="M20" s="29"/>
      <c r="N20" s="29"/>
      <c r="O20" s="29"/>
      <c r="P20" s="29"/>
      <c r="Q20" s="29"/>
      <c r="R20" s="29"/>
      <c r="S20" s="29"/>
    </row>
    <row r="21" spans="1:19" ht="15" x14ac:dyDescent="0.3">
      <c r="A21" s="1" t="s">
        <v>8</v>
      </c>
      <c r="B21" s="1">
        <v>82</v>
      </c>
      <c r="G21" s="37" t="s">
        <v>105</v>
      </c>
      <c r="H21" s="35"/>
      <c r="I21" s="35"/>
      <c r="J21" s="29"/>
      <c r="K21" s="29"/>
      <c r="L21" s="29"/>
      <c r="M21" s="29"/>
      <c r="N21" s="29"/>
      <c r="O21" s="29"/>
      <c r="P21" s="29"/>
      <c r="Q21" s="29"/>
      <c r="R21" s="29"/>
      <c r="S21" s="29"/>
    </row>
    <row r="22" spans="1:19" ht="15" x14ac:dyDescent="0.3">
      <c r="G22" s="36" t="s">
        <v>106</v>
      </c>
      <c r="H22" s="35"/>
      <c r="I22" s="35"/>
      <c r="J22" s="29"/>
      <c r="K22" s="29"/>
      <c r="L22" s="29"/>
      <c r="M22" s="29"/>
      <c r="N22" s="29"/>
      <c r="O22" s="29"/>
      <c r="P22" s="29"/>
      <c r="Q22" s="29"/>
      <c r="R22" s="29"/>
      <c r="S22" s="29"/>
    </row>
    <row r="23" spans="1:19" ht="15.6" x14ac:dyDescent="0.3">
      <c r="A23" s="22" t="s">
        <v>13</v>
      </c>
      <c r="B23" s="22"/>
      <c r="C23" s="23" cm="1">
        <f t="array" ref="C23">LARGE(IF(A15:A20="Marketing",B15:B20),2)</f>
        <v>85</v>
      </c>
      <c r="G23" s="37" t="s">
        <v>107</v>
      </c>
      <c r="H23" s="35"/>
      <c r="I23" s="35"/>
      <c r="J23" s="29"/>
      <c r="K23" s="29"/>
      <c r="L23" s="29"/>
      <c r="M23" s="29"/>
      <c r="N23" s="29"/>
      <c r="O23" s="29"/>
      <c r="P23" s="29"/>
      <c r="Q23" s="29"/>
      <c r="R23" s="29"/>
      <c r="S23" s="29"/>
    </row>
    <row r="24" spans="1:19" ht="15" x14ac:dyDescent="0.3">
      <c r="G24" s="37" t="s">
        <v>108</v>
      </c>
      <c r="H24" s="35"/>
      <c r="I24" s="35"/>
      <c r="J24" s="29"/>
      <c r="K24" s="29"/>
      <c r="L24" s="29"/>
      <c r="M24" s="29"/>
      <c r="N24" s="29"/>
      <c r="O24" s="29"/>
      <c r="P24" s="29"/>
      <c r="Q24" s="29"/>
      <c r="R24" s="29"/>
      <c r="S24" s="29"/>
    </row>
    <row r="25" spans="1:19" ht="15" x14ac:dyDescent="0.3">
      <c r="A25" s="19" t="s">
        <v>14</v>
      </c>
      <c r="B25" s="19"/>
      <c r="C25" s="19"/>
      <c r="G25" s="38" t="s">
        <v>109</v>
      </c>
      <c r="H25" s="35"/>
      <c r="I25" s="35"/>
      <c r="J25" s="29"/>
      <c r="K25" s="29"/>
      <c r="L25" s="29"/>
      <c r="M25" s="29"/>
      <c r="N25" s="29"/>
      <c r="O25" s="29"/>
      <c r="P25" s="29"/>
      <c r="Q25" s="29"/>
      <c r="R25" s="29"/>
      <c r="S25" s="29"/>
    </row>
    <row r="26" spans="1:19" ht="15" x14ac:dyDescent="0.3">
      <c r="A26" s="4" t="s">
        <v>5</v>
      </c>
      <c r="B26" s="4" t="s">
        <v>15</v>
      </c>
      <c r="C26" s="4" t="s">
        <v>16</v>
      </c>
      <c r="D26" s="4" t="s">
        <v>17</v>
      </c>
      <c r="G26" s="36" t="s">
        <v>110</v>
      </c>
      <c r="H26" s="35"/>
      <c r="I26" s="35"/>
      <c r="J26" s="29"/>
      <c r="K26" s="29"/>
      <c r="L26" s="29"/>
      <c r="M26" s="29"/>
      <c r="N26" s="29"/>
      <c r="O26" s="29"/>
      <c r="P26" s="29"/>
      <c r="Q26" s="29"/>
      <c r="R26" s="29"/>
      <c r="S26" s="29"/>
    </row>
    <row r="27" spans="1:19" ht="15" x14ac:dyDescent="0.3">
      <c r="A27" s="5" t="s">
        <v>18</v>
      </c>
      <c r="B27">
        <v>49.999999999999993</v>
      </c>
      <c r="C27">
        <v>30</v>
      </c>
      <c r="D27">
        <f>B27*C27</f>
        <v>1499.9999999999998</v>
      </c>
      <c r="G27" s="37" t="s">
        <v>111</v>
      </c>
      <c r="H27" s="35"/>
      <c r="I27" s="35"/>
      <c r="J27" s="29"/>
      <c r="K27" s="29"/>
      <c r="L27" s="29"/>
      <c r="M27" s="29"/>
      <c r="N27" s="29"/>
      <c r="O27" s="29"/>
      <c r="P27" s="29"/>
      <c r="Q27" s="29"/>
      <c r="R27" s="29"/>
      <c r="S27" s="29"/>
    </row>
    <row r="28" spans="1:19" ht="15" x14ac:dyDescent="0.3">
      <c r="A28" s="5" t="s">
        <v>19</v>
      </c>
      <c r="B28">
        <v>0</v>
      </c>
      <c r="C28">
        <v>40</v>
      </c>
      <c r="D28">
        <f>B28*C28</f>
        <v>0</v>
      </c>
      <c r="G28" s="37" t="s">
        <v>112</v>
      </c>
      <c r="H28" s="35"/>
      <c r="I28" s="35"/>
      <c r="J28" s="29"/>
      <c r="K28" s="29"/>
      <c r="L28" s="29"/>
      <c r="M28" s="29"/>
      <c r="N28" s="29"/>
      <c r="O28" s="29"/>
      <c r="P28" s="29"/>
      <c r="Q28" s="29"/>
      <c r="R28" s="29"/>
      <c r="S28" s="29"/>
    </row>
    <row r="29" spans="1:19" ht="15" x14ac:dyDescent="0.3">
      <c r="A29" s="4" t="s">
        <v>20</v>
      </c>
      <c r="D29">
        <f>SUM(D27:D28)</f>
        <v>1499.9999999999998</v>
      </c>
      <c r="G29" s="37" t="s">
        <v>113</v>
      </c>
      <c r="H29" s="35"/>
      <c r="I29" s="35"/>
      <c r="J29" s="29"/>
      <c r="K29" s="29"/>
      <c r="L29" s="29"/>
      <c r="M29" s="29"/>
      <c r="N29" s="29"/>
      <c r="O29" s="29"/>
      <c r="P29" s="29"/>
      <c r="Q29" s="29"/>
      <c r="R29" s="29"/>
      <c r="S29" s="29"/>
    </row>
    <row r="31" spans="1:19" x14ac:dyDescent="0.3">
      <c r="A31" s="19" t="s">
        <v>21</v>
      </c>
      <c r="B31" s="19"/>
      <c r="C31" s="19"/>
    </row>
    <row r="32" spans="1:19" x14ac:dyDescent="0.3">
      <c r="A32" s="4" t="s">
        <v>22</v>
      </c>
      <c r="B32" s="4" t="s">
        <v>23</v>
      </c>
      <c r="C32" s="4" t="s">
        <v>24</v>
      </c>
    </row>
    <row r="33" spans="1:3" x14ac:dyDescent="0.3">
      <c r="A33" s="5" t="s">
        <v>25</v>
      </c>
      <c r="B33" s="5">
        <f>2*B27+3*B28</f>
        <v>99.999999999999986</v>
      </c>
      <c r="C33" s="5">
        <v>100</v>
      </c>
    </row>
    <row r="34" spans="1:3" x14ac:dyDescent="0.3">
      <c r="A34" s="5" t="s">
        <v>26</v>
      </c>
      <c r="B34" s="5">
        <f>4*B27+2*B28</f>
        <v>199.99999999999997</v>
      </c>
      <c r="C34" s="5">
        <v>500</v>
      </c>
    </row>
    <row r="36" spans="1:3" x14ac:dyDescent="0.3">
      <c r="A36" s="39" t="s">
        <v>81</v>
      </c>
      <c r="B36" s="39"/>
      <c r="C36" s="39"/>
    </row>
    <row r="37" spans="1:3" ht="52.8" x14ac:dyDescent="0.3">
      <c r="A37" s="40" t="s">
        <v>82</v>
      </c>
      <c r="B37" s="40" t="s">
        <v>83</v>
      </c>
      <c r="C37" s="29"/>
    </row>
    <row r="38" spans="1:3" ht="39.6" x14ac:dyDescent="0.3">
      <c r="A38" s="40" t="s">
        <v>84</v>
      </c>
      <c r="B38" s="40" t="s">
        <v>85</v>
      </c>
      <c r="C38" s="29"/>
    </row>
    <row r="39" spans="1:3" ht="39.6" x14ac:dyDescent="0.3">
      <c r="A39" s="40" t="s">
        <v>86</v>
      </c>
      <c r="B39" s="40" t="s">
        <v>87</v>
      </c>
      <c r="C39" s="29"/>
    </row>
  </sheetData>
  <mergeCells count="10">
    <mergeCell ref="A25:C25"/>
    <mergeCell ref="A36:C36"/>
    <mergeCell ref="A31:C31"/>
    <mergeCell ref="A23:B23"/>
    <mergeCell ref="A13:B13"/>
    <mergeCell ref="G2:S2"/>
    <mergeCell ref="G3:S3"/>
    <mergeCell ref="G5:S5"/>
    <mergeCell ref="G6:S6"/>
    <mergeCell ref="G7:S7"/>
  </mergeCells>
  <dataValidations count="2">
    <dataValidation allowBlank="1" showInputMessage="1" showErrorMessage="1" promptTitle="East" prompt=" total sales for &quot;Widget A&quot; in &quot;East&quot; region" sqref="C13" xr:uid="{86304D9A-4C7D-481E-AE99-AF79C6634725}"/>
    <dataValidation allowBlank="1" showInputMessage="1" showErrorMessage="1" promptTitle="2nd score" prompt="2nd highest score in Marketing" sqref="C23" xr:uid="{FA0C976E-4524-4FF4-B3EA-2E8DB125A5E3}"/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8E1C0-AC91-410F-8839-A842A4429799}">
  <dimension ref="A1:G30"/>
  <sheetViews>
    <sheetView showGridLines="0" workbookViewId="0">
      <selection activeCell="C4" sqref="C4"/>
    </sheetView>
  </sheetViews>
  <sheetFormatPr defaultRowHeight="14.4" x14ac:dyDescent="0.3"/>
  <cols>
    <col min="1" max="1" width="2.33203125" customWidth="1"/>
    <col min="2" max="2" width="6.109375" bestFit="1" customWidth="1"/>
    <col min="3" max="3" width="32.44140625" bestFit="1" customWidth="1"/>
    <col min="4" max="4" width="12.6640625" bestFit="1" customWidth="1"/>
    <col min="5" max="5" width="11.109375" bestFit="1" customWidth="1"/>
    <col min="6" max="6" width="10.44140625" bestFit="1" customWidth="1"/>
    <col min="7" max="7" width="5.33203125" bestFit="1" customWidth="1"/>
  </cols>
  <sheetData>
    <row r="1" spans="1:5" x14ac:dyDescent="0.3">
      <c r="A1" s="6" t="s">
        <v>27</v>
      </c>
    </row>
    <row r="2" spans="1:5" x14ac:dyDescent="0.3">
      <c r="A2" s="6" t="s">
        <v>28</v>
      </c>
    </row>
    <row r="3" spans="1:5" x14ac:dyDescent="0.3">
      <c r="A3" s="6" t="s">
        <v>29</v>
      </c>
    </row>
    <row r="4" spans="1:5" x14ac:dyDescent="0.3">
      <c r="A4" s="6" t="s">
        <v>30</v>
      </c>
    </row>
    <row r="5" spans="1:5" x14ac:dyDescent="0.3">
      <c r="A5" s="6" t="s">
        <v>31</v>
      </c>
    </row>
    <row r="6" spans="1:5" x14ac:dyDescent="0.3">
      <c r="A6" s="6"/>
      <c r="B6" t="s">
        <v>32</v>
      </c>
    </row>
    <row r="7" spans="1:5" x14ac:dyDescent="0.3">
      <c r="A7" s="6"/>
      <c r="B7" t="s">
        <v>33</v>
      </c>
    </row>
    <row r="8" spans="1:5" x14ac:dyDescent="0.3">
      <c r="A8" s="6"/>
      <c r="B8" t="s">
        <v>34</v>
      </c>
    </row>
    <row r="9" spans="1:5" x14ac:dyDescent="0.3">
      <c r="A9" s="6" t="s">
        <v>35</v>
      </c>
    </row>
    <row r="10" spans="1:5" x14ac:dyDescent="0.3">
      <c r="B10" t="s">
        <v>36</v>
      </c>
    </row>
    <row r="11" spans="1:5" x14ac:dyDescent="0.3">
      <c r="B11" t="s">
        <v>37</v>
      </c>
    </row>
    <row r="14" spans="1:5" ht="15" thickBot="1" x14ac:dyDescent="0.35">
      <c r="A14" t="s">
        <v>38</v>
      </c>
    </row>
    <row r="15" spans="1:5" ht="15" thickBot="1" x14ac:dyDescent="0.35">
      <c r="B15" s="8" t="s">
        <v>39</v>
      </c>
      <c r="C15" s="8" t="s">
        <v>40</v>
      </c>
      <c r="D15" s="8" t="s">
        <v>41</v>
      </c>
      <c r="E15" s="8" t="s">
        <v>42</v>
      </c>
    </row>
    <row r="16" spans="1:5" ht="15" thickBot="1" x14ac:dyDescent="0.35">
      <c r="B16" s="7" t="s">
        <v>50</v>
      </c>
      <c r="C16" s="7" t="s">
        <v>51</v>
      </c>
      <c r="D16" s="10">
        <v>1499.9999999999998</v>
      </c>
      <c r="E16" s="10">
        <v>1499.9999999999998</v>
      </c>
    </row>
    <row r="19" spans="1:7" ht="15" thickBot="1" x14ac:dyDescent="0.35">
      <c r="A19" t="s">
        <v>43</v>
      </c>
    </row>
    <row r="20" spans="1:7" ht="15" thickBot="1" x14ac:dyDescent="0.35">
      <c r="B20" s="8" t="s">
        <v>39</v>
      </c>
      <c r="C20" s="8" t="s">
        <v>40</v>
      </c>
      <c r="D20" s="8" t="s">
        <v>41</v>
      </c>
      <c r="E20" s="8" t="s">
        <v>42</v>
      </c>
      <c r="F20" s="8" t="s">
        <v>44</v>
      </c>
    </row>
    <row r="21" spans="1:7" x14ac:dyDescent="0.3">
      <c r="B21" s="9" t="s">
        <v>52</v>
      </c>
      <c r="C21" s="9" t="s">
        <v>53</v>
      </c>
      <c r="D21" s="11">
        <v>49.999999999999993</v>
      </c>
      <c r="E21" s="11">
        <v>49.999999999999993</v>
      </c>
      <c r="F21" s="9" t="s">
        <v>54</v>
      </c>
    </row>
    <row r="22" spans="1:7" ht="15" thickBot="1" x14ac:dyDescent="0.35">
      <c r="B22" s="7" t="s">
        <v>55</v>
      </c>
      <c r="C22" s="7" t="s">
        <v>56</v>
      </c>
      <c r="D22" s="10">
        <v>0</v>
      </c>
      <c r="E22" s="10">
        <v>0</v>
      </c>
      <c r="F22" s="7" t="s">
        <v>54</v>
      </c>
    </row>
    <row r="25" spans="1:7" ht="15" thickBot="1" x14ac:dyDescent="0.35">
      <c r="A25" t="s">
        <v>45</v>
      </c>
    </row>
    <row r="26" spans="1:7" ht="15" thickBot="1" x14ac:dyDescent="0.35">
      <c r="B26" s="8" t="s">
        <v>39</v>
      </c>
      <c r="C26" s="8" t="s">
        <v>40</v>
      </c>
      <c r="D26" s="8" t="s">
        <v>46</v>
      </c>
      <c r="E26" s="8" t="s">
        <v>47</v>
      </c>
      <c r="F26" s="8" t="s">
        <v>48</v>
      </c>
      <c r="G26" s="8" t="s">
        <v>49</v>
      </c>
    </row>
    <row r="27" spans="1:7" x14ac:dyDescent="0.3">
      <c r="B27" s="9" t="s">
        <v>57</v>
      </c>
      <c r="C27" s="9" t="s">
        <v>58</v>
      </c>
      <c r="D27" s="11">
        <v>0</v>
      </c>
      <c r="E27" s="9" t="s">
        <v>59</v>
      </c>
      <c r="F27" s="9" t="s">
        <v>60</v>
      </c>
      <c r="G27" s="9">
        <v>500</v>
      </c>
    </row>
    <row r="28" spans="1:7" x14ac:dyDescent="0.3">
      <c r="B28" s="9" t="s">
        <v>61</v>
      </c>
      <c r="C28" s="9" t="s">
        <v>62</v>
      </c>
      <c r="D28" s="11">
        <v>99.999999999999986</v>
      </c>
      <c r="E28" s="9" t="s">
        <v>63</v>
      </c>
      <c r="F28" s="9" t="s">
        <v>64</v>
      </c>
      <c r="G28" s="9">
        <v>0</v>
      </c>
    </row>
    <row r="29" spans="1:7" x14ac:dyDescent="0.3">
      <c r="B29" s="9" t="s">
        <v>52</v>
      </c>
      <c r="C29" s="9" t="s">
        <v>53</v>
      </c>
      <c r="D29" s="11">
        <v>49.999999999999993</v>
      </c>
      <c r="E29" s="9" t="s">
        <v>65</v>
      </c>
      <c r="F29" s="9" t="s">
        <v>60</v>
      </c>
      <c r="G29" s="11">
        <v>49.999999999999993</v>
      </c>
    </row>
    <row r="30" spans="1:7" ht="15" thickBot="1" x14ac:dyDescent="0.35">
      <c r="B30" s="7" t="s">
        <v>55</v>
      </c>
      <c r="C30" s="7" t="s">
        <v>56</v>
      </c>
      <c r="D30" s="10">
        <v>0</v>
      </c>
      <c r="E30" s="7" t="s">
        <v>66</v>
      </c>
      <c r="F30" s="7" t="s">
        <v>64</v>
      </c>
      <c r="G30" s="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A46CE-D401-4D71-A106-35EE2CE5C2A0}">
  <dimension ref="A1:H16"/>
  <sheetViews>
    <sheetView showGridLines="0" workbookViewId="0"/>
  </sheetViews>
  <sheetFormatPr defaultRowHeight="14.4" x14ac:dyDescent="0.3"/>
  <cols>
    <col min="1" max="1" width="2.33203125" customWidth="1"/>
    <col min="2" max="2" width="6.109375" bestFit="1" customWidth="1"/>
    <col min="3" max="3" width="32.44140625" bestFit="1" customWidth="1"/>
    <col min="4" max="4" width="5.77734375" bestFit="1" customWidth="1"/>
    <col min="5" max="5" width="8.33203125" bestFit="1" customWidth="1"/>
    <col min="6" max="6" width="10.109375" bestFit="1" customWidth="1"/>
    <col min="7" max="7" width="9.21875" bestFit="1" customWidth="1"/>
    <col min="8" max="8" width="12" bestFit="1" customWidth="1"/>
  </cols>
  <sheetData>
    <row r="1" spans="1:8" x14ac:dyDescent="0.3">
      <c r="A1" s="6" t="s">
        <v>67</v>
      </c>
    </row>
    <row r="2" spans="1:8" x14ac:dyDescent="0.3">
      <c r="A2" s="6" t="s">
        <v>28</v>
      </c>
    </row>
    <row r="3" spans="1:8" x14ac:dyDescent="0.3">
      <c r="A3" s="6" t="s">
        <v>29</v>
      </c>
    </row>
    <row r="6" spans="1:8" ht="15" thickBot="1" x14ac:dyDescent="0.35">
      <c r="A6" t="s">
        <v>43</v>
      </c>
    </row>
    <row r="7" spans="1:8" x14ac:dyDescent="0.3">
      <c r="B7" s="12"/>
      <c r="C7" s="12"/>
      <c r="D7" s="12" t="s">
        <v>68</v>
      </c>
      <c r="E7" s="12" t="s">
        <v>70</v>
      </c>
      <c r="F7" s="12" t="s">
        <v>72</v>
      </c>
      <c r="G7" s="12" t="s">
        <v>74</v>
      </c>
      <c r="H7" s="12" t="s">
        <v>74</v>
      </c>
    </row>
    <row r="8" spans="1:8" ht="15" thickBot="1" x14ac:dyDescent="0.35">
      <c r="B8" s="13" t="s">
        <v>39</v>
      </c>
      <c r="C8" s="13" t="s">
        <v>40</v>
      </c>
      <c r="D8" s="13" t="s">
        <v>69</v>
      </c>
      <c r="E8" s="13" t="s">
        <v>71</v>
      </c>
      <c r="F8" s="13" t="s">
        <v>73</v>
      </c>
      <c r="G8" s="13" t="s">
        <v>75</v>
      </c>
      <c r="H8" s="13" t="s">
        <v>76</v>
      </c>
    </row>
    <row r="9" spans="1:8" x14ac:dyDescent="0.3">
      <c r="B9" s="9" t="s">
        <v>52</v>
      </c>
      <c r="C9" s="9" t="s">
        <v>53</v>
      </c>
      <c r="D9" s="9">
        <v>49.999999999999993</v>
      </c>
      <c r="E9" s="9">
        <v>0</v>
      </c>
      <c r="F9" s="9">
        <v>30</v>
      </c>
      <c r="G9" s="9">
        <v>1E+30</v>
      </c>
      <c r="H9" s="9">
        <v>3.3333333333333357</v>
      </c>
    </row>
    <row r="10" spans="1:8" ht="15" thickBot="1" x14ac:dyDescent="0.35">
      <c r="B10" s="7" t="s">
        <v>55</v>
      </c>
      <c r="C10" s="7" t="s">
        <v>56</v>
      </c>
      <c r="D10" s="7">
        <v>0</v>
      </c>
      <c r="E10" s="7">
        <v>-5.0000000000000036</v>
      </c>
      <c r="F10" s="7">
        <v>40</v>
      </c>
      <c r="G10" s="7">
        <v>5.0000000000000036</v>
      </c>
      <c r="H10" s="7">
        <v>1E+30</v>
      </c>
    </row>
    <row r="12" spans="1:8" ht="15" thickBot="1" x14ac:dyDescent="0.35">
      <c r="A12" t="s">
        <v>45</v>
      </c>
    </row>
    <row r="13" spans="1:8" x14ac:dyDescent="0.3">
      <c r="B13" s="12"/>
      <c r="C13" s="12"/>
      <c r="D13" s="12" t="s">
        <v>68</v>
      </c>
      <c r="E13" s="12" t="s">
        <v>77</v>
      </c>
      <c r="F13" s="12" t="s">
        <v>79</v>
      </c>
      <c r="G13" s="12" t="s">
        <v>74</v>
      </c>
      <c r="H13" s="12" t="s">
        <v>74</v>
      </c>
    </row>
    <row r="14" spans="1:8" ht="15" thickBot="1" x14ac:dyDescent="0.35">
      <c r="B14" s="13" t="s">
        <v>39</v>
      </c>
      <c r="C14" s="13" t="s">
        <v>40</v>
      </c>
      <c r="D14" s="13" t="s">
        <v>69</v>
      </c>
      <c r="E14" s="13" t="s">
        <v>78</v>
      </c>
      <c r="F14" s="13" t="s">
        <v>80</v>
      </c>
      <c r="G14" s="13" t="s">
        <v>75</v>
      </c>
      <c r="H14" s="13" t="s">
        <v>76</v>
      </c>
    </row>
    <row r="15" spans="1:8" x14ac:dyDescent="0.3">
      <c r="B15" s="9" t="s">
        <v>57</v>
      </c>
      <c r="C15" s="9" t="s">
        <v>58</v>
      </c>
      <c r="D15" s="9">
        <v>0</v>
      </c>
      <c r="E15" s="9">
        <v>0</v>
      </c>
      <c r="F15" s="9">
        <v>500</v>
      </c>
      <c r="G15" s="9">
        <v>1E+30</v>
      </c>
      <c r="H15" s="9">
        <v>500</v>
      </c>
    </row>
    <row r="16" spans="1:8" ht="15" thickBot="1" x14ac:dyDescent="0.35">
      <c r="B16" s="7" t="s">
        <v>61</v>
      </c>
      <c r="C16" s="7" t="s">
        <v>62</v>
      </c>
      <c r="D16" s="7">
        <v>99.999999999999986</v>
      </c>
      <c r="E16" s="7">
        <v>15</v>
      </c>
      <c r="F16" s="7">
        <v>100</v>
      </c>
      <c r="G16" s="7">
        <v>1E+30</v>
      </c>
      <c r="H16" s="7">
        <v>99.999999999999986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Answer Report 1</vt:lpstr>
      <vt:lpstr>Sensitivity Report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TUYISHIMIRE</dc:creator>
  <cp:lastModifiedBy>Etienne TUYISHIMIRE</cp:lastModifiedBy>
  <dcterms:created xsi:type="dcterms:W3CDTF">2026-03-02T14:13:33Z</dcterms:created>
  <dcterms:modified xsi:type="dcterms:W3CDTF">2026-03-02T16:05:09Z</dcterms:modified>
</cp:coreProperties>
</file>