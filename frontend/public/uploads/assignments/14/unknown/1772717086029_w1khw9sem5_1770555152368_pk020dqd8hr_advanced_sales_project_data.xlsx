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etien\Desktop\"/>
    </mc:Choice>
  </mc:AlternateContent>
  <xr:revisionPtr revIDLastSave="0" documentId="13_ncr:1_{AF05C647-170E-4F2F-AA42-3B0A4B0388A4}" xr6:coauthVersionLast="47" xr6:coauthVersionMax="47" xr10:uidLastSave="{00000000-0000-0000-0000-000000000000}"/>
  <bookViews>
    <workbookView xWindow="-108" yWindow="-108" windowWidth="23256" windowHeight="12456" xr2:uid="{00000000-000D-0000-FFFF-FFFF00000000}"/>
  </bookViews>
  <sheets>
    <sheet name="Sales_Transactions" sheetId="1" r:id="rId1"/>
    <sheet name="Product_Reference" sheetId="2" r:id="rId2"/>
    <sheet name="Analysis" sheetId="3" r:id="rId3"/>
    <sheet name="Dashboard" sheetId="4" r:id="rId4"/>
  </sheets>
  <definedNames>
    <definedName name="_xlcn.WorksheetConnection_DashboardD21E271" hidden="1">Dashboard!$D$21:$E$27</definedName>
    <definedName name="Slicer_Product">#N/A</definedName>
    <definedName name="Slicer_Sales">#N/A</definedName>
  </definedNames>
  <calcPr calcId="191029"/>
  <pivotCaches>
    <pivotCache cacheId="0"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shboard!$D$21:$E$2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B6" i="4"/>
  <c r="B7" i="4"/>
  <c r="B8" i="4"/>
  <c r="B9" i="4"/>
  <c r="E27" i="4"/>
  <c r="E26" i="4"/>
  <c r="E25" i="4"/>
  <c r="E24" i="4"/>
  <c r="E23" i="4"/>
  <c r="E22" i="4"/>
  <c r="D27" i="4"/>
  <c r="D26" i="4"/>
  <c r="D25" i="4"/>
  <c r="D24" i="4"/>
  <c r="D23" i="4"/>
  <c r="D22" i="4"/>
  <c r="B23" i="4"/>
  <c r="B24" i="4"/>
  <c r="B25" i="4"/>
  <c r="B26" i="4"/>
  <c r="B27" i="4"/>
  <c r="B28" i="4"/>
  <c r="B29" i="4"/>
  <c r="B30" i="4"/>
  <c r="B31" i="4"/>
  <c r="B32" i="4"/>
  <c r="B33" i="4"/>
  <c r="B22" i="4"/>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 i="1"/>
  <c r="I9" i="4"/>
  <c r="I8" i="4"/>
  <c r="F7" i="4"/>
  <c r="F8" i="4"/>
  <c r="F9" i="4"/>
  <c r="F10" i="4"/>
  <c r="E7" i="4"/>
  <c r="E8" i="4"/>
  <c r="E9" i="4"/>
  <c r="G9" i="4" s="1"/>
  <c r="E10" i="4"/>
  <c r="F6" i="4"/>
  <c r="G6" i="4" s="1"/>
  <c r="E6" i="4"/>
  <c r="A2" i="4"/>
  <c r="B48" i="3"/>
  <c r="B49" i="3"/>
  <c r="B50" i="3"/>
  <c r="B54" i="3"/>
  <c r="B55" i="3"/>
  <c r="B56" i="3"/>
  <c r="B37" i="3"/>
  <c r="C37" i="3"/>
  <c r="B38" i="3"/>
  <c r="C38" i="3"/>
  <c r="B30" i="3"/>
  <c r="C30" i="3"/>
  <c r="B31" i="3"/>
  <c r="C31" i="3"/>
  <c r="B3" i="3"/>
  <c r="B4" i="3"/>
  <c r="B5" i="3"/>
  <c r="B6" i="3"/>
  <c r="B7" i="3"/>
  <c r="B19" i="3"/>
  <c r="B20" i="3"/>
  <c r="B21" i="3"/>
  <c r="B22" i="3"/>
  <c r="B23" i="3"/>
  <c r="B24" i="3"/>
  <c r="J17" i="1"/>
  <c r="J18" i="1"/>
  <c r="J23" i="1"/>
  <c r="J24" i="1"/>
  <c r="J59" i="1"/>
  <c r="J60" i="1"/>
  <c r="J89" i="1"/>
  <c r="J90" i="1"/>
  <c r="J95" i="1"/>
  <c r="J96" i="1"/>
  <c r="J131" i="1"/>
  <c r="J132" i="1"/>
  <c r="J161" i="1"/>
  <c r="J162" i="1"/>
  <c r="J167" i="1"/>
  <c r="J168" i="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I18" i="1"/>
  <c r="I19" i="1"/>
  <c r="J19" i="1" s="1"/>
  <c r="I20" i="1"/>
  <c r="J20" i="1" s="1"/>
  <c r="I21" i="1"/>
  <c r="J21" i="1" s="1"/>
  <c r="I22" i="1"/>
  <c r="J22" i="1" s="1"/>
  <c r="I23" i="1"/>
  <c r="I24" i="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I60" i="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I90" i="1"/>
  <c r="I91" i="1"/>
  <c r="J91" i="1" s="1"/>
  <c r="I92" i="1"/>
  <c r="J92" i="1" s="1"/>
  <c r="I93" i="1"/>
  <c r="J93" i="1" s="1"/>
  <c r="I94" i="1"/>
  <c r="J94" i="1" s="1"/>
  <c r="I95" i="1"/>
  <c r="I96" i="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I132" i="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I162" i="1"/>
  <c r="I163" i="1"/>
  <c r="J163" i="1" s="1"/>
  <c r="I164" i="1"/>
  <c r="J164" i="1" s="1"/>
  <c r="I165" i="1"/>
  <c r="J165" i="1" s="1"/>
  <c r="I166" i="1"/>
  <c r="J166" i="1" s="1"/>
  <c r="I167" i="1"/>
  <c r="I168" i="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 i="1"/>
  <c r="J2" i="1" s="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 i="1"/>
  <c r="G10" i="4" l="1"/>
  <c r="G8" i="4"/>
  <c r="G7" i="4"/>
  <c r="I7" i="4"/>
  <c r="B15" i="4"/>
  <c r="C15" i="4"/>
  <c r="D15" i="4" s="1"/>
  <c r="B16" i="4"/>
  <c r="C16" i="4"/>
  <c r="E16" i="4" s="1"/>
  <c r="B17" i="4"/>
  <c r="B14" i="3"/>
  <c r="C17" i="4"/>
  <c r="E17" i="4" s="1"/>
  <c r="B13" i="3"/>
  <c r="B12" i="3"/>
  <c r="B51" i="3"/>
  <c r="B11" i="3"/>
  <c r="B14" i="4"/>
  <c r="C14" i="4"/>
  <c r="I6" i="4"/>
  <c r="E14" i="4"/>
  <c r="E15" i="4" l="1"/>
  <c r="D17" i="4"/>
  <c r="D16" i="4"/>
  <c r="D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B83C72-0187-4BF0-B56C-BDBD61C626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9E0B43-89B5-4BBB-AE60-69325248FB94}" name="WorksheetConnection_Dashboard!$D$21:$E$27" type="102" refreshedVersion="8" minRefreshableVersion="5">
    <extLst>
      <ext xmlns:x15="http://schemas.microsoft.com/office/spreadsheetml/2010/11/main" uri="{DE250136-89BD-433C-8126-D09CA5730AF9}">
        <x15:connection id="Range" autoDelete="1">
          <x15:rangePr sourceName="_xlcn.WorksheetConnection_DashboardD21E271"/>
        </x15:connection>
      </ext>
    </extLst>
  </connection>
</connections>
</file>

<file path=xl/sharedStrings.xml><?xml version="1.0" encoding="utf-8"?>
<sst xmlns="http://schemas.openxmlformats.org/spreadsheetml/2006/main" count="750" uniqueCount="317">
  <si>
    <t>Transaction_ID</t>
  </si>
  <si>
    <t>Date</t>
  </si>
  <si>
    <t>Region</t>
  </si>
  <si>
    <t>Product_ID</t>
  </si>
  <si>
    <t>Value</t>
  </si>
  <si>
    <t>TXN-2000</t>
  </si>
  <si>
    <t>West</t>
  </si>
  <si>
    <t>P004</t>
  </si>
  <si>
    <t>TXN-2001</t>
  </si>
  <si>
    <t>North</t>
  </si>
  <si>
    <t>P002</t>
  </si>
  <si>
    <t>TXN-2002</t>
  </si>
  <si>
    <t>P999</t>
  </si>
  <si>
    <t>TXN-2003</t>
  </si>
  <si>
    <t>Central</t>
  </si>
  <si>
    <t>TXN-2004</t>
  </si>
  <si>
    <t>South</t>
  </si>
  <si>
    <t>P001</t>
  </si>
  <si>
    <t>TXN-2005</t>
  </si>
  <si>
    <t>P006</t>
  </si>
  <si>
    <t>TXN-2006</t>
  </si>
  <si>
    <t>East</t>
  </si>
  <si>
    <t>P003</t>
  </si>
  <si>
    <t>TXN-2007</t>
  </si>
  <si>
    <t>TXN-2008</t>
  </si>
  <si>
    <t>P005</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</si>
  <si>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</si>
  <si>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</si>
  <si>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</si>
  <si>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</si>
  <si>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</si>
  <si>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</si>
  <si>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</si>
  <si>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</si>
  <si>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</si>
  <si>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</si>
  <si>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</si>
  <si>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</si>
  <si>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</si>
  <si>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</si>
  <si>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</si>
  <si>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</si>
  <si>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</si>
  <si>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</si>
  <si>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</si>
  <si>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</si>
  <si>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</si>
  <si>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</si>
  <si>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</si>
  <si>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</si>
  <si>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</si>
  <si>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</si>
  <si>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</si>
  <si>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</si>
  <si>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</si>
  <si>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</si>
  <si>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</si>
  <si>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</si>
  <si>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</si>
  <si>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</si>
  <si>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</si>
  <si>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</si>
  <si>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</si>
  <si>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</si>
  <si>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</si>
  <si>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</si>
  <si>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</si>
  <si>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</si>
  <si>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</si>
  <si>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</si>
  <si>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</si>
  <si>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</si>
  <si>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</si>
  <si>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</si>
  <si>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</si>
  <si>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</si>
  <si>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</si>
  <si>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</si>
  <si>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</si>
  <si>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</si>
  <si>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</si>
  <si>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</si>
  <si>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</si>
  <si>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</si>
  <si>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</si>
  <si>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</si>
  <si>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</si>
  <si>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</si>
  <si>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</si>
  <si>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</si>
  <si>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</si>
  <si>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</si>
  <si>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</si>
  <si>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</si>
  <si>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</si>
  <si>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</si>
  <si>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</si>
  <si>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</si>
  <si>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</si>
  <si>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</si>
  <si>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</si>
  <si>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</si>
  <si>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</si>
  <si>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</si>
  <si>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</si>
  <si>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</si>
  <si>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</si>
  <si>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</si>
  <si>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</si>
  <si>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</si>
  <si>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</si>
  <si>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</si>
  <si>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</si>
  <si>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</si>
  <si>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</si>
  <si>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</si>
  <si>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</si>
  <si>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</si>
  <si>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</si>
  <si>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</si>
  <si>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</si>
  <si>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</si>
  <si>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</si>
  <si>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</si>
  <si>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</si>
  <si>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</si>
  <si>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</si>
  <si>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</si>
  <si>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</si>
  <si>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</si>
  <si>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</si>
  <si>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</si>
  <si>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</si>
  <si>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</si>
  <si>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</si>
  <si>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</si>
  <si>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</si>
  <si>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</si>
  <si>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</si>
  <si>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</si>
  <si>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</si>
  <si>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</si>
  <si>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</si>
  <si>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</si>
  <si>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</si>
  <si>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</si>
  <si>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</si>
  <si>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</si>
  <si>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</si>
  <si>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</si>
  <si>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</si>
  <si>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</si>
  <si>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</si>
  <si>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</si>
  <si>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</si>
  <si>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</si>
  <si>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</si>
  <si>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</si>
  <si>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</si>
  <si>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</si>
  <si>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</si>
  <si>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</si>
  <si>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</si>
  <si>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</si>
  <si>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</si>
  <si>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</si>
  <si>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</si>
  <si>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</si>
  <si>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</si>
  <si>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</si>
  <si>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</si>
  <si>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</si>
  <si>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</si>
  <si>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</si>
  <si>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</si>
  <si>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</si>
  <si>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</si>
  <si>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</si>
  <si>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</si>
  <si>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</si>
  <si>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</si>
  <si>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</si>
  <si>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</si>
  <si>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</si>
  <si>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</si>
  <si>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</si>
  <si>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</si>
  <si>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</si>
  <si>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</si>
  <si>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</si>
  <si>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</si>
  <si>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</si>
  <si>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</si>
  <si>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</si>
  <si>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</si>
  <si>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</si>
  <si>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</si>
  <si>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</si>
  <si>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</si>
  <si>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</si>
  <si>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</si>
  <si>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</si>
  <si>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</si>
  <si>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</si>
  <si>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</si>
  <si>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</si>
  <si>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</si>
  <si>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</si>
  <si>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</si>
  <si>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</si>
  <si>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</si>
  <si>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</si>
  <si>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</si>
  <si>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</si>
  <si>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</si>
  <si>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</si>
  <si>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</si>
  <si>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Product_Name</t>
  </si>
  <si>
    <t>Product_Type</t>
  </si>
  <si>
    <t>Base_Price</t>
  </si>
  <si>
    <t>Laptop</t>
  </si>
  <si>
    <t>Hardware</t>
  </si>
  <si>
    <t>Desktop</t>
  </si>
  <si>
    <t>Office Suite</t>
  </si>
  <si>
    <t>Software</t>
  </si>
  <si>
    <t>Cloud Storage</t>
  </si>
  <si>
    <t>Monitor</t>
  </si>
  <si>
    <t>Keyboard</t>
  </si>
  <si>
    <t>Accessories</t>
  </si>
  <si>
    <t>Profit_Calculation</t>
  </si>
  <si>
    <t>A. Total Sales by Region</t>
  </si>
  <si>
    <t>Total Sales</t>
  </si>
  <si>
    <t>B. Average Transaction Value by Product Type</t>
  </si>
  <si>
    <t>Average Value</t>
  </si>
  <si>
    <t>Unknown</t>
  </si>
  <si>
    <t>Date Range</t>
  </si>
  <si>
    <t>Transaction Count</t>
  </si>
  <si>
    <t>Q1 (Jan-Mar)</t>
  </si>
  <si>
    <t>Q2 (Apr-Jun)</t>
  </si>
  <si>
    <t>Q3 (Jul-Sep)</t>
  </si>
  <si>
    <t>Q4 (Oct-Dec)</t>
  </si>
  <si>
    <t>High Value (&gt;3000)</t>
  </si>
  <si>
    <t>Low Value (&lt;1000)</t>
  </si>
  <si>
    <t>C. Transaction Counts by Date Range</t>
  </si>
  <si>
    <t>4. Advanced Lookup Demonstrations</t>
  </si>
  <si>
    <t>5. Comparison Operators in Conditional Aggregation</t>
  </si>
  <si>
    <t>A. Sales Analysis with Thresholds</t>
  </si>
  <si>
    <t>B. Seasonal Analysis with Date Ranges</t>
  </si>
  <si>
    <t>INDEX/MATCH Combination Example</t>
  </si>
  <si>
    <t>In your Analysis sheet, create a product lookup section:</t>
  </si>
  <si>
    <t>Product_Name (INDEX/MATCH)</t>
  </si>
  <si>
    <t>Base_Price (INDEX/MATCH)</t>
  </si>
  <si>
    <t>XLOOKUP Example</t>
  </si>
  <si>
    <t>Same table, different functions:</t>
  </si>
  <si>
    <t>Product_Name (XLOOKUP)</t>
  </si>
  <si>
    <t>Product_Type (XLOOKUP)</t>
  </si>
  <si>
    <t>Comparison Notes:</t>
  </si>
  <si>
    <t>Create a threshold analysis table:</t>
  </si>
  <si>
    <t>Metric</t>
  </si>
  <si>
    <t>Formula</t>
  </si>
  <si>
    <t>Purpose</t>
  </si>
  <si>
    <t>High-Value Sales (&gt;4000)</t>
  </si>
  <si>
    <t>Sum of premium transactions</t>
  </si>
  <si>
    <t>Medium Sales (1000-4000)</t>
  </si>
  <si>
    <t>Core business volume</t>
  </si>
  <si>
    <t>Low Sales (&lt;1000)</t>
  </si>
  <si>
    <t>Small transactions</t>
  </si>
  <si>
    <t>Count of High-Value Hardware</t>
  </si>
  <si>
    <t>Premium hardware sales count</t>
  </si>
  <si>
    <t>Period</t>
  </si>
  <si>
    <t>First Half Year</t>
  </si>
  <si>
    <t>Holiday Season (Nov-Dec)</t>
  </si>
  <si>
    <t>Q1 High-Value</t>
  </si>
  <si>
    <t>Sales Performance Dashboard</t>
  </si>
  <si>
    <t>Overall Performance</t>
  </si>
  <si>
    <t>Total Sales:</t>
  </si>
  <si>
    <t>Average Transaction:</t>
  </si>
  <si>
    <t>Total Transactions:</t>
  </si>
  <si>
    <t>High-Value Sales (&gt;3000):</t>
  </si>
  <si>
    <t>Unknown Products (P999):</t>
  </si>
  <si>
    <t>Regional Analysis</t>
  </si>
  <si>
    <t># Transactions</t>
  </si>
  <si>
    <t>Avg. Value</t>
  </si>
  <si>
    <t>Product Type Performance</t>
  </si>
  <si>
    <t>Product Type</t>
  </si>
  <si>
    <t># Products</t>
  </si>
  <si>
    <t>Avg. Sale</t>
  </si>
  <si>
    <t>High-Value %</t>
  </si>
  <si>
    <t>Data Quality</t>
  </si>
  <si>
    <t>Check</t>
  </si>
  <si>
    <t>Result</t>
  </si>
  <si>
    <t>#N/A Errors</t>
  </si>
  <si>
    <t>Missing Products</t>
  </si>
  <si>
    <t>Date Completeness</t>
  </si>
  <si>
    <t>Blank Values</t>
  </si>
  <si>
    <t>Month</t>
  </si>
  <si>
    <t>Monthly Sales</t>
  </si>
  <si>
    <t>Sales</t>
  </si>
  <si>
    <t>Jan</t>
  </si>
  <si>
    <t>Feb</t>
  </si>
  <si>
    <t>Mar</t>
  </si>
  <si>
    <t>Apr</t>
  </si>
  <si>
    <t>May</t>
  </si>
  <si>
    <t>Jun</t>
  </si>
  <si>
    <t>Jul</t>
  </si>
  <si>
    <t>Aug</t>
  </si>
  <si>
    <t>Sep</t>
  </si>
  <si>
    <t>Oct</t>
  </si>
  <si>
    <t>Nov</t>
  </si>
  <si>
    <t>Dec</t>
  </si>
  <si>
    <t>Top 5 Products</t>
  </si>
  <si>
    <t>Product</t>
  </si>
  <si>
    <t>Row Labels</t>
  </si>
  <si>
    <t>Grand Total</t>
  </si>
  <si>
    <t>Sum of Sales</t>
  </si>
  <si>
    <t>INDEX/MATCH: More flexible, works in older Excel versions</t>
  </si>
  <si>
    <t>XLOOKUP: Simpler syntax, can search in any direction, has built-in error handling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</si>
</sst>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2" x14ac:knownFonts="1">
    <font>
      <sz val="11"/>
      <color theme="1"/>
      <name val="Calibri"/>
      <scheme val="minor"/>
    </font>
    <font>
      <b/>
      <sz val="11"/>
      <color theme="1"/>
      <name val="Calibri"/>
      <scheme val="minor"/>
    </font>
    <font>
      <sz val="11"/>
      <color theme="1"/>
      <name val="Calibri"/>
      <scheme val="minor"/>
    </font>
    <font>
      <sz val="10"/>
      <color rgb="FF0F1115"/>
      <name val="Segoe UI"/>
      <family val="2"/>
    </font>
    <font>
      <sz val="8"/>
      <color rgb="FF0F1115"/>
      <name val="Consolas"/>
      <family val="3"/>
    </font>
    <font>
      <sz val="10"/>
      <color rgb="FF0F1115"/>
      <name val="Segoe UI"/>
      <family val="2"/>
    </font>
    <font>
      <sz val="8"/>
      <name val="Calibri"/>
      <family val="2"/>
      <scheme val="minor"/>
    </font>
    <font>
      <b/>
      <sz val="12"/>
      <color rgb="FF0F1115"/>
      <name val="Times New Roman"/>
      <family val="1"/>
    </font>
    <font>
      <sz val="12"/>
      <color theme="1"/>
      <name val="Times New Roman"/>
      <family val="1"/>
    </font>
    <font>
      <sz val="12"/>
      <color rgb="FF0F1115"/>
      <name val="Times New Roman"/>
      <family val="1"/>
    </font>
    <font>
      <i/>
      <sz val="12"/>
      <color theme="2" tint="-0.499984740745262"/>
      <name val="Times New Roman"/>
      <family val="1"/>
    </font>
    <font>
      <b/>
      <sz val="12"/>
      <color theme="1"/>
      <name val="Times New Roman"/>
      <family val="1"/>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4" fillId="0" borderId="0" xfId="0" applyFont="1"/>
    <xf numFmtId="0" fontId="5" fillId="0" borderId="0" xfId="0" applyFont="1"/>
    <xf numFmtId="0" fontId="7" fillId="0" borderId="0" xfId="0" applyFont="1" applyAlignment="1">
      <alignment horizontal="center"/>
    </xf>
    <xf numFmtId="0" fontId="8" fillId="0" borderId="0" xfId="0" applyFont="1"/>
    <xf numFmtId="0" fontId="8" fillId="0" borderId="0" xfId="0" pivotButton="1" applyFont="1"/>
    <xf numFmtId="0" fontId="9" fillId="0" borderId="0" xfId="0" applyFont="1" applyAlignment="1">
      <alignment horizontal="left" vertical="center" indent="1"/>
    </xf>
    <xf numFmtId="0" fontId="10" fillId="0" borderId="0" xfId="0" applyFont="1"/>
    <xf numFmtId="0" fontId="8" fillId="0" borderId="0" xfId="0" applyFont="1" applyAlignment="1">
      <alignment horizontal="left"/>
    </xf>
    <xf numFmtId="0" fontId="8" fillId="0" borderId="0" xfId="0" applyFont="1" applyAlignment="1">
      <alignment vertical="center"/>
    </xf>
    <xf numFmtId="0" fontId="7" fillId="0" borderId="0" xfId="0" applyFont="1"/>
    <xf numFmtId="0" fontId="9" fillId="0" borderId="0" xfId="0" applyFont="1"/>
    <xf numFmtId="0" fontId="7" fillId="0" borderId="0" xfId="0" applyFont="1" applyAlignment="1">
      <alignment horizontal="center" vertical="center" wrapText="1"/>
    </xf>
    <xf numFmtId="0" fontId="7" fillId="0" borderId="0" xfId="0" applyFont="1" applyAlignment="1">
      <alignment vertical="center" wrapText="1"/>
    </xf>
    <xf numFmtId="0" fontId="8" fillId="0" borderId="0" xfId="0" applyFont="1" applyAlignment="1">
      <alignment wrapText="1"/>
    </xf>
    <xf numFmtId="0" fontId="11" fillId="0" borderId="0" xfId="0" applyFont="1" applyAlignment="1">
      <alignment horizontal="center" vertical="center" wrapText="1"/>
    </xf>
    <xf numFmtId="0" fontId="8" fillId="0" borderId="0" xfId="0" applyFont="1" applyAlignment="1">
      <alignment vertical="center" wrapText="1"/>
    </xf>
    <xf numFmtId="0" fontId="9" fillId="0" borderId="0" xfId="0" applyFont="1" applyAlignment="1">
      <alignment horizontal="center" vertical="center" wrapText="1"/>
    </xf>
    <xf numFmtId="0" fontId="9" fillId="2" borderId="0" xfId="0" applyFont="1" applyFill="1" applyAlignment="1">
      <alignment horizontal="left" vertical="center" wrapText="1"/>
    </xf>
    <xf numFmtId="0" fontId="8" fillId="0" borderId="0" xfId="0" applyFont="1" applyAlignment="1">
      <alignment horizontal="left" vertical="center" wrapText="1"/>
    </xf>
    <xf numFmtId="0" fontId="9" fillId="0" borderId="0" xfId="0" applyFont="1" applyAlignment="1">
      <alignment vertical="center" wrapText="1"/>
    </xf>
    <xf numFmtId="164" fontId="8" fillId="0" borderId="0" xfId="0" applyNumberFormat="1" applyFont="1"/>
  </cellXfs>
  <cellStyles count="1">
    <cellStyle name="Normal" xfId="0" builtinId="0"/>
  </cellStyles>
  <dxfs count="69">
    <dxf>
      <font>
        <b val="0"/>
        <i val="0"/>
        <strike val="0"/>
        <condense val="0"/>
        <extend val="0"/>
        <outline val="0"/>
        <shadow val="0"/>
        <u val="none"/>
        <vertAlign val="baseline"/>
        <sz val="12"/>
        <color rgb="FF0F1115"/>
        <name val="Times New Roman"/>
        <family val="1"/>
        <scheme val="none"/>
      </font>
      <alignment horizontal="left" vertical="center" textRotation="0" wrapText="0" indent="1" justifyLastLine="0" shrinkToFit="0" readingOrder="0"/>
    </dxf>
    <dxf>
      <font>
        <b val="0"/>
        <i val="0"/>
        <strike val="0"/>
        <condense val="0"/>
        <extend val="0"/>
        <outline val="0"/>
        <shadow val="0"/>
        <u val="none"/>
        <vertAlign val="baseline"/>
        <sz val="12"/>
        <color rgb="FF0F1115"/>
        <name val="Times New Roman"/>
        <family val="1"/>
        <scheme val="none"/>
      </font>
      <alignment horizontal="left" vertical="center" textRotation="0" wrapText="0" indent="1" justifyLastLine="0" shrinkToFit="0" readingOrder="0"/>
    </dxf>
    <dxf>
      <font>
        <b val="0"/>
        <i val="0"/>
        <strike val="0"/>
        <condense val="0"/>
        <extend val="0"/>
        <outline val="0"/>
        <shadow val="0"/>
        <u val="none"/>
        <vertAlign val="baseline"/>
        <sz val="12"/>
        <color rgb="FF0F1115"/>
        <name val="Times New Roman"/>
        <family val="1"/>
        <scheme val="none"/>
      </font>
      <alignment horizontal="left" vertical="center" textRotation="0" wrapText="0" indent="1" justifyLastLine="0" shrinkToFit="0" readingOrder="0"/>
    </dxf>
    <dxf>
      <font>
        <b val="0"/>
        <i val="0"/>
        <strike val="0"/>
        <condense val="0"/>
        <extend val="0"/>
        <outline val="0"/>
        <shadow val="0"/>
        <u val="none"/>
        <vertAlign val="baseline"/>
        <sz val="12"/>
        <color rgb="FF0F1115"/>
        <name val="Times New Roman"/>
        <family val="1"/>
        <scheme val="none"/>
      </font>
      <alignment horizontal="left" vertical="center" textRotation="0" wrapText="0" indent="1" justifyLastLine="0" shrinkToFit="0" readingOrder="0"/>
    </dxf>
    <dxf>
      <font>
        <b val="0"/>
        <i val="0"/>
        <strike val="0"/>
        <condense val="0"/>
        <extend val="0"/>
        <outline val="0"/>
        <shadow val="0"/>
        <u val="none"/>
        <vertAlign val="baseline"/>
        <sz val="12"/>
        <color rgb="FF0F1115"/>
        <name val="Times New Roman"/>
        <family val="1"/>
        <scheme val="none"/>
      </font>
      <alignment horizontal="left" vertical="center" textRotation="0" wrapText="0" indent="1" justifyLastLine="0" shrinkToFit="0" readingOrder="0"/>
    </dxf>
    <dxf>
      <font>
        <b val="0"/>
        <i val="0"/>
        <strike val="0"/>
        <condense val="0"/>
        <extend val="0"/>
        <outline val="0"/>
        <shadow val="0"/>
        <u val="none"/>
        <vertAlign val="baseline"/>
        <sz val="12"/>
        <color rgb="FF0F1115"/>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64" formatCode="yyyy\-mm\-dd\ hh:mm:ss"/>
    </dxf>
    <dxf>
      <font>
        <b val="0"/>
        <i val="0"/>
        <strike val="0"/>
        <condense val="0"/>
        <extend val="0"/>
        <outline val="0"/>
        <shadow val="0"/>
        <u val="none"/>
        <vertAlign val="baseline"/>
        <sz val="12"/>
        <color theme="1"/>
        <name val="Times New Roman"/>
        <family val="1"/>
        <scheme val="none"/>
      </font>
    </dxf>
    <dxf>
      <font>
        <strike val="0"/>
        <outline val="0"/>
        <shadow val="0"/>
        <u val="none"/>
        <vertAlign val="baseline"/>
        <sz val="12"/>
        <name val="Times New Roman"/>
        <family val="1"/>
        <scheme val="none"/>
      </font>
      <alignment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b val="0"/>
        <i val="0"/>
        <strike val="0"/>
        <condense val="0"/>
        <extend val="0"/>
        <outline val="0"/>
        <shadow val="0"/>
        <u val="none"/>
        <vertAlign val="baseline"/>
        <sz val="12"/>
        <color rgb="FF0F1115"/>
        <name val="Times New Roman"/>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2"/>
        <color rgb="FF0F1115"/>
        <name val="Times New Roman"/>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2"/>
        <color rgb="FF0F1115"/>
        <name val="Times New Roman"/>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2"/>
        <color rgb="FF0F1115"/>
        <name val="Times New Roman"/>
        <family val="1"/>
        <scheme val="none"/>
      </font>
      <fill>
        <patternFill patternType="solid">
          <fgColor indexed="64"/>
          <bgColor rgb="FFFFFFFF"/>
        </patternFill>
      </fill>
      <alignment horizontal="left" vertical="center"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b val="0"/>
        <i val="0"/>
        <strike val="0"/>
        <condense val="0"/>
        <extend val="0"/>
        <outline val="0"/>
        <shadow val="0"/>
        <u val="none"/>
        <vertAlign val="baseline"/>
        <sz val="12"/>
        <color rgb="FF0F1115"/>
        <name val="Times New Roman"/>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2"/>
        <color rgb="FF0F1115"/>
        <name val="Times New Roman"/>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2"/>
        <color rgb="FF0F1115"/>
        <name val="Times New Roman"/>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12"/>
        <color rgb="FF0F1115"/>
        <name val="Times New Roman"/>
        <family val="1"/>
        <scheme val="none"/>
      </font>
      <fill>
        <patternFill patternType="solid">
          <fgColor indexed="64"/>
          <bgColor rgb="FFFFFFFF"/>
        </patternFill>
      </fill>
      <alignment horizontal="left" vertical="center"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strike val="0"/>
        <outline val="0"/>
        <shadow val="0"/>
        <u val="none"/>
        <vertAlign val="baseline"/>
        <sz val="12"/>
        <name val="Times New Roman"/>
        <family val="1"/>
        <scheme val="none"/>
      </font>
      <alignment textRotation="0" wrapText="1" indent="0" justifyLastLine="0" shrinkToFit="0" readingOrder="0"/>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Times New Roman"/>
        <family val="1"/>
        <scheme val="none"/>
      </font>
    </dxf>
    <dxf>
      <font>
        <sz val="12"/>
      </font>
    </dxf>
    <dxf>
      <font>
        <sz val="12"/>
      </font>
    </dxf>
    <dxf>
      <font>
        <sz val="12"/>
      </font>
    </dxf>
    <dxf>
      <font>
        <sz val="12"/>
      </font>
    </dxf>
    <dxf>
      <font>
        <sz val="12"/>
      </font>
    </dxf>
    <dxf>
      <font>
        <sz val="12"/>
      </font>
    </dxf>
    <dxf>
      <font>
        <sz val="12"/>
      </font>
    </dxf>
    <dxf>
      <font>
        <name val="Calibri"/>
        <family val="2"/>
        <scheme val="minor"/>
      </font>
    </dxf>
    <dxf>
      <fill>
        <patternFill>
          <bgColor rgb="FFFFC7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CC3300"/>
      </font>
    </dxf>
    <dxf>
      <font>
        <b val="0"/>
        <i val="0"/>
        <strike val="0"/>
        <condense val="0"/>
        <extend val="0"/>
        <outline val="0"/>
        <shadow val="0"/>
        <u val="none"/>
        <vertAlign val="baseline"/>
        <sz val="10"/>
        <color rgb="FF0F1115"/>
        <name val="Segoe UI"/>
        <family val="2"/>
        <scheme val="none"/>
      </font>
    </dxf>
  </dxfs>
  <tableStyles count="0" defaultTableStyle="TableStyleMedium2" defaultPivotStyle="PivotStyleLight16"/>
  <colors>
    <mruColors>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Dashboard!$E$5</c:f>
              <c:strCache>
                <c:ptCount val="1"/>
                <c:pt idx="0">
                  <c:v>Total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59-4D52-BCA3-51B2812B0D7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F59-4D52-BCA3-51B2812B0D7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F59-4D52-BCA3-51B2812B0D7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F59-4D52-BCA3-51B2812B0D7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F59-4D52-BCA3-51B2812B0D7B}"/>
              </c:ext>
            </c:extLst>
          </c:dPt>
          <c:cat>
            <c:strRef>
              <c:f>Dashboard!$D$6:$D$10</c:f>
              <c:strCache>
                <c:ptCount val="5"/>
                <c:pt idx="0">
                  <c:v>North</c:v>
                </c:pt>
                <c:pt idx="1">
                  <c:v>South</c:v>
                </c:pt>
                <c:pt idx="2">
                  <c:v>East</c:v>
                </c:pt>
                <c:pt idx="3">
                  <c:v>West</c:v>
                </c:pt>
                <c:pt idx="4">
                  <c:v>Central</c:v>
                </c:pt>
              </c:strCache>
            </c:strRef>
          </c:cat>
          <c:val>
            <c:numRef>
              <c:f>Dashboard!$E$6:$E$10</c:f>
              <c:numCache>
                <c:formatCode>General</c:formatCode>
                <c:ptCount val="5"/>
                <c:pt idx="0">
                  <c:v>98799.880000000019</c:v>
                </c:pt>
                <c:pt idx="1">
                  <c:v>122811.4</c:v>
                </c:pt>
                <c:pt idx="2">
                  <c:v>88729.04</c:v>
                </c:pt>
                <c:pt idx="3">
                  <c:v>118542.52</c:v>
                </c:pt>
                <c:pt idx="4">
                  <c:v>77650.290000000008</c:v>
                </c:pt>
              </c:numCache>
            </c:numRef>
          </c:val>
          <c:extLst>
            <c:ext xmlns:c16="http://schemas.microsoft.com/office/drawing/2014/chart" uri="{C3380CC4-5D6E-409C-BE32-E72D297353CC}">
              <c16:uniqueId val="{00000000-0C70-4686-A041-433C2C3D99AB}"/>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Dashboard!$B$21</c:f>
              <c:strCache>
                <c:ptCount val="1"/>
                <c:pt idx="0">
                  <c:v>Sales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Dashboard!$A$22:$A$33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Dashboard!$B$22:$B$33</c:f>
              <c:numCache>
                <c:formatCode>General</c:formatCode>
                <c:ptCount val="12"/>
                <c:pt idx="0">
                  <c:v>52371.23</c:v>
                </c:pt>
                <c:pt idx="1">
                  <c:v>41053.71</c:v>
                </c:pt>
                <c:pt idx="2">
                  <c:v>63666.19</c:v>
                </c:pt>
                <c:pt idx="3">
                  <c:v>43762.569999999992</c:v>
                </c:pt>
                <c:pt idx="4">
                  <c:v>50120.369999999995</c:v>
                </c:pt>
                <c:pt idx="5">
                  <c:v>20664.46</c:v>
                </c:pt>
                <c:pt idx="6">
                  <c:v>38662.089999999997</c:v>
                </c:pt>
                <c:pt idx="7">
                  <c:v>34289.469999999994</c:v>
                </c:pt>
                <c:pt idx="8">
                  <c:v>29631.190000000002</c:v>
                </c:pt>
                <c:pt idx="9">
                  <c:v>44470.12</c:v>
                </c:pt>
                <c:pt idx="10">
                  <c:v>30185.16</c:v>
                </c:pt>
                <c:pt idx="11">
                  <c:v>57656.569999999992</c:v>
                </c:pt>
              </c:numCache>
            </c:numRef>
          </c:val>
          <c:smooth val="0"/>
          <c:extLst>
            <c:ext xmlns:c16="http://schemas.microsoft.com/office/drawing/2014/chart" uri="{C3380CC4-5D6E-409C-BE32-E72D297353CC}">
              <c16:uniqueId val="{00000000-0391-410B-A6E8-1BDDD1427C46}"/>
            </c:ext>
          </c:extLst>
        </c:ser>
        <c:dLbls>
          <c:dLblPos val="ctr"/>
          <c:showLegendKey val="0"/>
          <c:showVal val="1"/>
          <c:showCatName val="0"/>
          <c:showSerName val="0"/>
          <c:showPercent val="0"/>
          <c:showBubbleSize val="0"/>
        </c:dLbls>
        <c:smooth val="0"/>
        <c:axId val="1982394799"/>
        <c:axId val="1982395759"/>
      </c:lineChart>
      <c:catAx>
        <c:axId val="198239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95759"/>
        <c:crosses val="autoZero"/>
        <c:auto val="1"/>
        <c:lblAlgn val="ctr"/>
        <c:lblOffset val="100"/>
        <c:noMultiLvlLbl val="0"/>
      </c:catAx>
      <c:valAx>
        <c:axId val="198239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947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Dashboard!$E$21</c:f>
              <c:strCache>
                <c:ptCount val="1"/>
                <c:pt idx="0">
                  <c:v>Sales</c:v>
                </c:pt>
              </c:strCache>
            </c:strRef>
          </c:tx>
          <c:spPr>
            <a:solidFill>
              <a:schemeClr val="accent1"/>
            </a:solidFill>
            <a:ln>
              <a:noFill/>
            </a:ln>
            <a:effectLst/>
          </c:spPr>
          <c:invertIfNegative val="0"/>
          <c:cat>
            <c:strRef>
              <c:f>Dashboard!$D$22:$D$27</c:f>
              <c:strCache>
                <c:ptCount val="6"/>
                <c:pt idx="0">
                  <c:v>Laptop</c:v>
                </c:pt>
                <c:pt idx="1">
                  <c:v>Desktop</c:v>
                </c:pt>
                <c:pt idx="2">
                  <c:v>Office Suite</c:v>
                </c:pt>
                <c:pt idx="3">
                  <c:v>Cloud Storage</c:v>
                </c:pt>
                <c:pt idx="4">
                  <c:v>Monitor</c:v>
                </c:pt>
                <c:pt idx="5">
                  <c:v>Keyboard</c:v>
                </c:pt>
              </c:strCache>
            </c:strRef>
          </c:cat>
          <c:val>
            <c:numRef>
              <c:f>Dashboard!$E$22:$E$27</c:f>
              <c:numCache>
                <c:formatCode>General</c:formatCode>
                <c:ptCount val="6"/>
                <c:pt idx="0">
                  <c:v>83855.099999999991</c:v>
                </c:pt>
                <c:pt idx="1">
                  <c:v>71605.13</c:v>
                </c:pt>
                <c:pt idx="2">
                  <c:v>78390.75</c:v>
                </c:pt>
                <c:pt idx="3">
                  <c:v>57218.86</c:v>
                </c:pt>
                <c:pt idx="4">
                  <c:v>59903.56</c:v>
                </c:pt>
                <c:pt idx="5">
                  <c:v>73744.75</c:v>
                </c:pt>
              </c:numCache>
            </c:numRef>
          </c:val>
          <c:extLst>
            <c:ext xmlns:c16="http://schemas.microsoft.com/office/drawing/2014/chart" uri="{C3380CC4-5D6E-409C-BE32-E72D297353CC}">
              <c16:uniqueId val="{00000000-D1B0-4B2E-8F59-3E79B2B7BCD7}"/>
            </c:ext>
          </c:extLst>
        </c:ser>
        <c:dLbls>
          <c:showLegendKey val="0"/>
          <c:showVal val="0"/>
          <c:showCatName val="0"/>
          <c:showSerName val="0"/>
          <c:showPercent val="0"/>
          <c:showBubbleSize val="0"/>
        </c:dLbls>
        <c:gapWidth val="219"/>
        <c:overlap val="-27"/>
        <c:axId val="368151999"/>
        <c:axId val="368152479"/>
      </c:barChart>
      <c:catAx>
        <c:axId val="36815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152479"/>
        <c:crosses val="autoZero"/>
        <c:auto val="1"/>
        <c:lblAlgn val="ctr"/>
        <c:lblOffset val="100"/>
        <c:noMultiLvlLbl val="0"/>
      </c:catAx>
      <c:valAx>
        <c:axId val="36815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15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594360</xdr:colOff>
      <xdr:row>11</xdr:row>
      <xdr:rowOff>3810</xdr:rowOff>
    </xdr:from>
    <xdr:to>
      <xdr:col>13</xdr:col>
      <xdr:colOff>3810</xdr:colOff>
      <xdr:row>22</xdr:row>
      <xdr:rowOff>137160</xdr:rowOff>
    </xdr:to>
    <xdr:graphicFrame macro="">
      <xdr:nvGraphicFramePr>
        <xdr:cNvPr id="2" name="Chart 1">
          <a:extLst>
            <a:ext uri="{FF2B5EF4-FFF2-40B4-BE49-F238E27FC236}">
              <a16:creationId xmlns:a16="http://schemas.microsoft.com/office/drawing/2014/main" id="{EDC0AF20-53D4-C1C6-1396-F430E28B3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586740</xdr:colOff>
      <xdr:row>22</xdr:row>
      <xdr:rowOff>167640</xdr:rowOff>
    </xdr:from>
    <xdr:to>
      <xdr:col>13</xdr:col>
      <xdr:colOff>495300</xdr:colOff>
      <xdr:row>36</xdr:row>
      <xdr:rowOff>156210</xdr:rowOff>
    </xdr:to>
    <xdr:graphicFrame macro="">
      <xdr:nvGraphicFramePr>
        <xdr:cNvPr id="3" name="Chart 2">
          <a:extLst>
            <a:ext uri="{FF2B5EF4-FFF2-40B4-BE49-F238E27FC236}">
              <a16:creationId xmlns:a16="http://schemas.microsoft.com/office/drawing/2014/main" id="{22387B4A-84FF-128B-CFD3-F1A050B81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560070</xdr:colOff>
      <xdr:row>23</xdr:row>
      <xdr:rowOff>30480</xdr:rowOff>
    </xdr:from>
    <xdr:to>
      <xdr:col>20</xdr:col>
      <xdr:colOff>563880</xdr:colOff>
      <xdr:row>36</xdr:row>
      <xdr:rowOff>160020</xdr:rowOff>
    </xdr:to>
    <xdr:graphicFrame macro="">
      <xdr:nvGraphicFramePr>
        <xdr:cNvPr id="4" name="Chart 3">
          <a:extLst>
            <a:ext uri="{FF2B5EF4-FFF2-40B4-BE49-F238E27FC236}">
              <a16:creationId xmlns:a16="http://schemas.microsoft.com/office/drawing/2014/main" id="{C495C8F8-0186-996B-2A3D-38AC815FC3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388620</xdr:colOff>
      <xdr:row>38</xdr:row>
      <xdr:rowOff>45720</xdr:rowOff>
    </xdr:from>
    <xdr:to>
      <xdr:col>10</xdr:col>
      <xdr:colOff>640080</xdr:colOff>
      <xdr:row>50</xdr:row>
      <xdr:rowOff>135255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1952C192-2790-E079-FED3-F36313CBDD1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821680" y="7078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769620</xdr:colOff>
      <xdr:row>38</xdr:row>
      <xdr:rowOff>15240</xdr:rowOff>
    </xdr:from>
    <xdr:to>
      <xdr:col>13</xdr:col>
      <xdr:colOff>495300</xdr:colOff>
      <xdr:row>50</xdr:row>
      <xdr:rowOff>104775</xdr:rowOff>
    </xdr:to>
    <mc:AlternateContent xmlns:mc="http://schemas.openxmlformats.org/markup-compatibility/2006" xmlns:a14="http://schemas.microsoft.com/office/drawing/2010/main">
      <mc:Choice Requires="a14">
        <xdr:graphicFrame macro="">
          <xdr:nvGraphicFramePr>
            <xdr:cNvPr id="6" name="Sales">
              <a:extLst>
                <a:ext uri="{FF2B5EF4-FFF2-40B4-BE49-F238E27FC236}">
                  <a16:creationId xmlns:a16="http://schemas.microsoft.com/office/drawing/2014/main" id="{6469926F-03D6-52A1-FC88-13FAA00BC837}"/>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673340" y="70485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tienne TUYISHIMIRE" refreshedDate="46053.998271064818" backgroundQuery="1" createdVersion="8" refreshedVersion="8" minRefreshableVersion="3" recordCount="0" supportSubquery="1" supportAdvancedDrill="1" xr:uid="{DB9F665D-33D3-4567-AAE2-9E7604E4282B}">
  <cacheSource type="external" connectionId="1"/>
  <cacheFields count="2">
    <cacheField name="[Range].[Product].[Product]" caption="Product" numFmtId="0" level="1">
      <sharedItems count="1">
        <s v="Monitor"/>
      </sharedItems>
    </cacheField>
    <cacheField name="[Measures].[Sum of Sales]" caption="Sum of Sales" numFmtId="0" hierarchy="4" level="32767"/>
  </cacheFields>
  <cacheHierarchies count="5">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tienne TUYISHIMIRE" refreshedDate="46053.997830787041" backgroundQuery="1" createdVersion="3" refreshedVersion="8" minRefreshableVersion="3" recordCount="0" supportSubquery="1" supportAdvancedDrill="1" xr:uid="{A6F0710F-FA3F-49CC-B203-14BB365F6336}">
  <cacheSource type="external" connectionId="1">
    <extLst>
      <ext xmlns:x14="http://schemas.microsoft.com/office/spreadsheetml/2009/9/main" uri="{F057638F-6D5F-4e77-A914-E7F072B9BCA8}">
        <x14:sourceConnection name="ThisWorkbookDataModel"/>
      </ext>
    </extLst>
  </cacheSource>
  <cacheFields count="0"/>
  <cacheHierarchies count="5">
    <cacheHierarchy uniqueName="[Range].[Product]" caption="Product" attribute="1" defaultMemberUniqueName="[Range].[Product].[All]" allUniqueName="[Range].[Product].[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212101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ED17A2-833E-4F06-BB07-407B9526A5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3"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Sales" fld="1" baseField="0" baseItem="0"/>
  </dataFields>
  <formats count="12">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 dxfId="54">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axis="axisValues" fieldPosition="0"/>
    </format>
  </formats>
  <pivotHierarchies count="5">
    <pivotHierarchy multipleItemSelectionAllowed="1"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D$21:$E$2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A84F029-4248-4021-84CF-8C5809713207}" sourceName="[Range].[Product]">
  <pivotTables>
    <pivotTable tabId="4" name="PivotTable3"/>
  </pivotTables>
  <data>
    <olap pivotCacheId="121210148">
      <levels count="2">
        <level uniqueName="[Range].[Product].[(All)]" sourceCaption="(All)" count="0"/>
        <level uniqueName="[Range].[Product].[Product]" sourceCaption="Product" count="6">
          <ranges>
            <range startItem="0">
              <i n="[Range].[Product].&amp;[Cloud Storage]" c="Cloud Storage"/>
              <i n="[Range].[Product].&amp;[Desktop]" c="Desktop"/>
              <i n="[Range].[Product].&amp;[Keyboard]" c="Keyboard"/>
              <i n="[Range].[Product].&amp;[Laptop]" c="Laptop"/>
              <i n="[Range].[Product].&amp;[Monitor]" c="Monitor"/>
              <i n="[Range].[Product].&amp;[Office Suite]" c="Office Suite"/>
            </range>
          </ranges>
        </level>
      </levels>
      <selections count="1">
        <selection n="[Range].[Product].&amp;[Monito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A0BAE241-11C6-442A-A7ED-C214BBFBC13E}" sourceName="[Range].[Sales]">
  <pivotTables>
    <pivotTable tabId="4" name="PivotTable3"/>
  </pivotTables>
  <data>
    <olap pivotCacheId="121210148">
      <levels count="2">
        <level uniqueName="[Range].[Sales].[(All)]" sourceCaption="(All)" count="0"/>
        <level uniqueName="[Range].[Sales].[Sales]" sourceCaption="Sales" count="6">
          <ranges>
            <range startItem="0">
              <i n="[Range].[Sales].&amp;[5.990356E4]" c="59903.56"/>
              <i n="[Range].[Sales].&amp;[5.721886E4]" c="57218.86" nd="1"/>
              <i n="[Range].[Sales].&amp;[7.160513E4]" c="71605.13" nd="1"/>
              <i n="[Range].[Sales].&amp;[7.374475E4]" c="73744.75" nd="1"/>
              <i n="[Range].[Sales].&amp;[7.839075E4]" c="78390.75" nd="1"/>
              <i n="[Range].[Sales].&amp;[8.385509999999999E4]" c="83855.1" nd="1"/>
            </range>
          </ranges>
        </level>
      </levels>
      <selections count="1">
        <selection n="[Range].[Sal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725549F-C616-46A6-9AFF-203E604F5436}" cache="Slicer_Product" caption="Product" level="1" rowHeight="234950"/>
  <slicer name="Sales" xr10:uid="{CC31F8E7-EA2D-47FB-9C3F-AC5FF0FCEBB7}" cache="Slicer_Sales" caption="Sales"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5C41870-8A3D-4BC3-BDA5-E69C2A570B45}" name="SalesTable" displayName="SalesTable" ref="A1:J201" totalsRowShown="0" headerRowDxfId="68" dataDxfId="0">
  <autoFilter ref="A1:J201" xr:uid="{B5C41870-8A3D-4BC3-BDA5-E69C2A570B45}"/>
  <tableColumns count="10">
    <tableColumn id="1" xr3:uid="{68CD9B63-5B6A-4582-A9E9-A5A9934D41DF}" name="Transaction_ID" dataDxfId="10"/>
    <tableColumn id="2" xr3:uid="{DDE1DC8A-C409-417E-BED6-BF78B1A98D84}" name="Date" dataDxfId="9"/>
    <tableColumn id="3" xr3:uid="{AC1205F1-742B-4551-8AEE-9C4A6262745D}" name="Region" dataDxfId="8"/>
    <tableColumn id="4" xr3:uid="{4C7A3507-45EA-48E3-BDBD-C5ED216AC53D}" name="Product_ID" dataDxfId="7"/>
    <tableColumn id="5" xr3:uid="{CF9FB527-45C1-449F-A89B-3BC6AC00A707}" name="Value" dataDxfId="6"/>
    <tableColumn id="6" xr3:uid="{31457EDE-4EA7-4EA1-8A9F-59ABE3F025E1}" name="Month" dataDxfId="5">
      <calculatedColumnFormula>TEXT(B2, "mmm")</calculatedColumnFormula>
    </tableColumn>
    <tableColumn id="7" xr3:uid="{E228187D-A1EA-45A0-BEEF-36F791B35D39}" name="Product_Name" dataDxfId="4">
      <calculatedColumnFormula>IFERROR( _xlfn.XLOOKUP(D2, Product_Reference!$A$2:$A$7, Product_Reference!$B$2:$B$7, "Unknown Product"),"Check Reference")</calculatedColumnFormula>
    </tableColumn>
    <tableColumn id="8" xr3:uid="{3A3CD48C-B3D7-4451-9E6E-36D7A722B7E3}" name="Product_Type" dataDxfId="3">
      <calculatedColumnFormula>IF(ISNA(VLOOKUP(D2, Product_Reference!$A$2:$D$7, 3, FALSE)),"Type Not Found",VLOOKUP(D2, Product_Reference!$A$2:$D$7, 3, FALSE))</calculatedColumnFormula>
    </tableColumn>
    <tableColumn id="9" xr3:uid="{5135DFCB-A84A-4F77-976F-31C55E880246}" name="Base_Price" dataDxfId="2">
      <calculatedColumnFormula>IFERROR(INDEX(Product_Reference!$D$2:$D$7, MATCH(D2, Product_Reference!$A$2:$A$7, 0)),"N/A")</calculatedColumnFormula>
    </tableColumn>
    <tableColumn id="10" xr3:uid="{793D350E-05BC-4420-8B1C-8FADCA9FBC41}" name="Profit_Calculation" dataDxfId="1">
      <calculatedColumnFormula>IFERROR(E2-I2, "Cannot Calculate")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EBDC4A-8DE6-4415-B2B4-FDC1E4D13F7B}" name="Table1" displayName="Table1" ref="A2:B7" totalsRowShown="0" headerRowDxfId="39" dataDxfId="38">
  <autoFilter ref="A2:B7" xr:uid="{3EEBDC4A-8DE6-4415-B2B4-FDC1E4D13F7B}"/>
  <tableColumns count="2">
    <tableColumn id="1" xr3:uid="{BD66A8F6-EDE2-4DE4-86A9-EB6634AF91D0}" name="Region" dataDxfId="41"/>
    <tableColumn id="2" xr3:uid="{E2951F4C-115B-45A7-86D4-AB859D5ECEAA}" name="Total Sales" dataDxfId="4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8AB9FA-F1C8-46B1-A881-A5A31E0F65B1}" name="Table2" displayName="Table2" ref="A10:B14" totalsRowShown="0" headerRowDxfId="35" dataDxfId="34">
  <autoFilter ref="A10:B14" xr:uid="{4A8AB9FA-F1C8-46B1-A881-A5A31E0F65B1}"/>
  <tableColumns count="2">
    <tableColumn id="1" xr3:uid="{E733A5D3-61F9-4097-8B2A-103515AC3162}" name="Product_Type" dataDxfId="37"/>
    <tableColumn id="2" xr3:uid="{A0687F2D-EB1A-433A-912B-C73E3DD11197}" name="Average Value" dataDxfId="3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C60460-044D-487F-9325-BA15DF097F58}" name="Table3" displayName="Table3" ref="A18:B24" totalsRowShown="0" headerRowDxfId="31" dataDxfId="30">
  <autoFilter ref="A18:B24" xr:uid="{89C60460-044D-487F-9325-BA15DF097F58}"/>
  <tableColumns count="2">
    <tableColumn id="1" xr3:uid="{99345121-66CD-420A-92AE-9CE9CC7E7A00}" name="Date Range" dataDxfId="33"/>
    <tableColumn id="2" xr3:uid="{B2A4D778-DD13-415D-918A-3AD9AD1C6315}" name="Transaction Count" dataDxfId="3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8DAA78-2C8C-4CF6-9066-C59DF581A08C}" name="Table4" displayName="Table4" ref="A29:C31" totalsRowShown="0" headerRowDxfId="26" dataDxfId="25">
  <autoFilter ref="A29:C31" xr:uid="{E18DAA78-2C8C-4CF6-9066-C59DF581A08C}"/>
  <tableColumns count="3">
    <tableColumn id="1" xr3:uid="{CABB1E1C-CE42-41DD-90EA-4BC8FAC62FCB}" name="Product_ID" dataDxfId="29"/>
    <tableColumn id="2" xr3:uid="{0B4AF407-A9F3-4463-AAE4-CFA38B1761AB}" name="Product_Name (INDEX/MATCH)" dataDxfId="28">
      <calculatedColumnFormula>INDEX(Product_Reference!B:B, MATCH("P002", Product_Reference!A:A, 0))</calculatedColumnFormula>
    </tableColumn>
    <tableColumn id="3" xr3:uid="{728456A1-16CF-4F6C-B4A0-DF0007BB55F5}" name="Base_Price (INDEX/MATCH)" dataDxfId="27">
      <calculatedColumnFormula>INDEX(Product_Reference!D:D, MATCH("P002", Product_Reference!A:A, 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BF7DE70-7AD0-4A2A-90F4-3327C3124383}" name="Table5" displayName="Table5" ref="A36:C38" totalsRowShown="0" headerRowDxfId="21" dataDxfId="20">
  <autoFilter ref="A36:C38" xr:uid="{1BF7DE70-7AD0-4A2A-90F4-3327C3124383}"/>
  <tableColumns count="3">
    <tableColumn id="1" xr3:uid="{48FC688F-5A9C-4FA0-AA67-370D166923CB}" name="Product_ID" dataDxfId="24"/>
    <tableColumn id="2" xr3:uid="{D421B01E-DD52-4751-BE50-4C42FC6733B7}" name="Product_Name (XLOOKUP)" dataDxfId="23">
      <calculatedColumnFormula>_xlfn.XLOOKUP("P004", Product_Reference!A:A, Product_Reference!B:B, "Not Found", 0, 1)</calculatedColumnFormula>
    </tableColumn>
    <tableColumn id="3" xr3:uid="{A209D007-902E-447C-8D5A-70D625536684}" name="Product_Type (XLOOKUP)" dataDxfId="22">
      <calculatedColumnFormula>_xlfn.XLOOKUP("P004", Product_Reference!A:A, Product_Reference!C:C, "Not Found", 0, 1)</calculatedColumnFormula>
    </tableColumn>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E5E502-B462-4F70-96E9-8796DC64A080}" name="Table6" displayName="Table6" ref="A53:B56" totalsRowShown="0" headerRowDxfId="17" dataDxfId="16">
  <autoFilter ref="A53:B56" xr:uid="{E5E5E502-B462-4F70-96E9-8796DC64A080}"/>
  <tableColumns count="2">
    <tableColumn id="1" xr3:uid="{109C0BBD-DC9E-4E07-AA0F-3884B6C7C1B4}" name="Period" dataDxfId="19"/>
    <tableColumn id="2" xr3:uid="{7F231D7A-985B-4569-B0B1-71C37C77BC27}" name="Total Sales" dataDxfId="1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7B09539-8EB9-491E-8823-31AC12A1426D}" name="Table7" displayName="Table7" ref="A47:C51" totalsRowShown="0" headerRowDxfId="12" dataDxfId="11">
  <autoFilter ref="A47:C51" xr:uid="{47B09539-8EB9-491E-8823-31AC12A1426D}"/>
  <tableColumns count="3">
    <tableColumn id="1" xr3:uid="{609C137A-C5CD-41D3-98C8-8778B9B4C1D1}" name="Metric" dataDxfId="15"/>
    <tableColumn id="2" xr3:uid="{E8870FBF-F36A-4528-9485-150CBADAEEE5}" name="Formula" dataDxfId="14"/>
    <tableColumn id="3" xr3:uid="{78D4D4F2-154D-4EB3-B0FE-32CF70D29E99}" name="Purpose" dataDxfId="13"/>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table" Target="../tables/table2.xm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tabSelected="1" topLeftCell="A111" workbookViewId="0">
      <selection activeCell="B10" sqref="B10"/>
    </sheetView>
  </sheetViews>
  <sheetFormatPr defaultColWidth="14.44140625" defaultRowHeight="15" customHeight="1" x14ac:dyDescent="0.3"/>
  <cols>
    <col min="1" max="1" width="18.109375" bestFit="1" customWidth="1"/>
    <col min="2" max="2" width="20.21875" bestFit="1" customWidth="1"/>
    <col min="3" max="3" width="11.21875" bestFit="1" customWidth="1"/>
    <col min="4" max="4" width="14.88671875" bestFit="1" customWidth="1"/>
    <col min="5" max="6" width="11" customWidth="1"/>
    <col min="7" max="7" width="16.77734375" customWidth="1"/>
    <col min="8" max="8" width="15.6640625" customWidth="1"/>
    <col min="9" max="9" width="12.77734375" customWidth="1"/>
    <col min="10" max="10" width="19.6640625" customWidth="1"/>
    <col min="11" max="27" width="8.6640625" customWidth="1"/>
  </cols>
  <sheetData>
    <row r="1" spans="1:12" x14ac:dyDescent="0.35">
      <c r="A1" s="1" t="s">
        <v>0</v>
      </c>
      <c r="B1" s="1" t="s">
        <v>1</v>
      </c>
      <c r="C1" s="1" t="s">
        <v>2</v>
      </c>
      <c r="D1" s="1" t="s">
        <v>3</v>
      </c>
      <c r="E1" s="1" t="s">
        <v>4</v>
      </c>
      <c r="F1" s="5" t="s">
        <v>295</v>
      </c>
      <c r="G1" s="3" t="s">
        <v>217</v>
      </c>
      <c r="H1" s="3" t="s">
        <v>218</v>
      </c>
      <c r="I1" s="3" t="s">
        <v>219</v>
      </c>
      <c r="J1" s="3" t="s">
        <v>229</v>
      </c>
    </row>
    <row r="2" spans="1:12" ht="15.6" x14ac:dyDescent="0.3">
      <c r="A2" s="7" t="s">
        <v>5</v>
      </c>
      <c r="B2" s="24">
        <v>46009</v>
      </c>
      <c r="C2" s="7" t="s">
        <v>6</v>
      </c>
      <c r="D2" s="7" t="s">
        <v>7</v>
      </c>
      <c r="E2" s="7">
        <v>4209.72</v>
      </c>
      <c r="F2" s="14" t="str">
        <f>TEXT(B2, "mmm")</f>
        <v>Dec</v>
      </c>
      <c r="G2" s="9" t="str">
        <f>IFERROR( _xlfn.XLOOKUP(D2, Product_Reference!$A$2:$A$7, Product_Reference!$B$2:$B$7, "Unknown Product"),"Check Reference")</f>
        <v>Cloud Storage</v>
      </c>
      <c r="H2" s="9" t="str">
        <f>IF(ISNA(VLOOKUP(D2, Product_Reference!$A$2:$D$7, 3, FALSE)),"Type Not Found",VLOOKUP(D2, Product_Reference!$A$2:$D$7, 3, FALSE))</f>
        <v>Software</v>
      </c>
      <c r="I2" s="9">
        <f>IFERROR(INDEX(Product_Reference!$D$2:$D$7, MATCH(D2, Product_Reference!$A$2:$A$7, 0)),"N/A")</f>
        <v>50</v>
      </c>
      <c r="J2" s="9">
        <f>IFERROR(E2-I2, "Cannot Calculate")</f>
        <v>4159.72</v>
      </c>
      <c r="L2" s="4"/>
    </row>
    <row r="3" spans="1:12" ht="15.6" x14ac:dyDescent="0.3">
      <c r="A3" s="7" t="s">
        <v>8</v>
      </c>
      <c r="B3" s="24">
        <v>45669</v>
      </c>
      <c r="C3" s="7" t="s">
        <v>9</v>
      </c>
      <c r="D3" s="7" t="s">
        <v>10</v>
      </c>
      <c r="E3" s="7">
        <v>4586.2299999999996</v>
      </c>
      <c r="F3" s="14" t="str">
        <f t="shared" ref="F3:F66" si="0">TEXT(B3, "mmm")</f>
        <v>Jan</v>
      </c>
      <c r="G3" s="9" t="str">
        <f>IFERROR( _xlfn.XLOOKUP(D3, Product_Reference!$A$2:$A$7, Product_Reference!$B$2:$B$7, "Unknown Product"),"Check Reference")</f>
        <v>Desktop</v>
      </c>
      <c r="H3" s="9" t="str">
        <f>IF(ISNA(VLOOKUP(D3, Product_Reference!$A$2:$D$7, 3, FALSE)),"Type Not Found",VLOOKUP(D3, Product_Reference!$A$2:$D$7, 3, FALSE))</f>
        <v>Hardware</v>
      </c>
      <c r="I3" s="9">
        <f>IFERROR(INDEX(Product_Reference!$D$2:$D$7, MATCH(D3, Product_Reference!$A$2:$A$7, 0)),"N/A")</f>
        <v>800</v>
      </c>
      <c r="J3" s="9">
        <f t="shared" ref="J3:J66" si="1">IFERROR(E3-I3, "Cannot Calculate")</f>
        <v>3786.2299999999996</v>
      </c>
    </row>
    <row r="4" spans="1:12" ht="15.6" x14ac:dyDescent="0.3">
      <c r="A4" s="7" t="s">
        <v>11</v>
      </c>
      <c r="B4" s="24">
        <v>45995</v>
      </c>
      <c r="C4" s="7" t="s">
        <v>6</v>
      </c>
      <c r="D4" s="7" t="s">
        <v>12</v>
      </c>
      <c r="E4" s="7">
        <v>1877.18</v>
      </c>
      <c r="F4" s="14" t="str">
        <f t="shared" si="0"/>
        <v>Dec</v>
      </c>
      <c r="G4" s="9" t="str">
        <f>IFERROR( _xlfn.XLOOKUP(D4, Product_Reference!$A$2:$A$7, Product_Reference!$B$2:$B$7, "Unknown Product"),"Check Reference")</f>
        <v>Unknown Product</v>
      </c>
      <c r="H4" s="9" t="str">
        <f>IF(ISNA(VLOOKUP(D4, Product_Reference!$A$2:$D$7, 3, FALSE)),"Type Not Found",VLOOKUP(D4, Product_Reference!$A$2:$D$7, 3, FALSE))</f>
        <v>Type Not Found</v>
      </c>
      <c r="I4" s="9" t="str">
        <f>IFERROR(INDEX(Product_Reference!$D$2:$D$7, MATCH(D4, Product_Reference!$A$2:$A$7, 0)),"N/A")</f>
        <v>N/A</v>
      </c>
      <c r="J4" s="9" t="str">
        <f t="shared" si="1"/>
        <v>Cannot Calculate</v>
      </c>
    </row>
    <row r="5" spans="1:12" ht="15.6" x14ac:dyDescent="0.3">
      <c r="A5" s="7" t="s">
        <v>13</v>
      </c>
      <c r="B5" s="24">
        <v>45984</v>
      </c>
      <c r="C5" s="7" t="s">
        <v>14</v>
      </c>
      <c r="D5" s="7" t="s">
        <v>10</v>
      </c>
      <c r="E5" s="7">
        <v>2691.31</v>
      </c>
      <c r="F5" s="14" t="str">
        <f t="shared" si="0"/>
        <v>Nov</v>
      </c>
      <c r="G5" s="9" t="str">
        <f>IFERROR( _xlfn.XLOOKUP(D5, Product_Reference!$A$2:$A$7, Product_Reference!$B$2:$B$7, "Unknown Product"),"Check Reference")</f>
        <v>Desktop</v>
      </c>
      <c r="H5" s="9" t="str">
        <f>IF(ISNA(VLOOKUP(D5, Product_Reference!$A$2:$D$7, 3, FALSE)),"Type Not Found",VLOOKUP(D5, Product_Reference!$A$2:$D$7, 3, FALSE))</f>
        <v>Hardware</v>
      </c>
      <c r="I5" s="9">
        <f>IFERROR(INDEX(Product_Reference!$D$2:$D$7, MATCH(D5, Product_Reference!$A$2:$A$7, 0)),"N/A")</f>
        <v>800</v>
      </c>
      <c r="J5" s="9">
        <f t="shared" si="1"/>
        <v>1891.31</v>
      </c>
    </row>
    <row r="6" spans="1:12" ht="15.6" x14ac:dyDescent="0.3">
      <c r="A6" s="7" t="s">
        <v>15</v>
      </c>
      <c r="B6" s="24">
        <v>45721</v>
      </c>
      <c r="C6" s="7" t="s">
        <v>16</v>
      </c>
      <c r="D6" s="7" t="s">
        <v>17</v>
      </c>
      <c r="E6" s="7">
        <v>4138.66</v>
      </c>
      <c r="F6" s="14" t="str">
        <f t="shared" si="0"/>
        <v>Mar</v>
      </c>
      <c r="G6" s="9" t="str">
        <f>IFERROR( _xlfn.XLOOKUP(D6, Product_Reference!$A$2:$A$7, Product_Reference!$B$2:$B$7, "Unknown Product"),"Check Reference")</f>
        <v>Laptop</v>
      </c>
      <c r="H6" s="9" t="str">
        <f>IF(ISNA(VLOOKUP(D6, Product_Reference!$A$2:$D$7, 3, FALSE)),"Type Not Found",VLOOKUP(D6, Product_Reference!$A$2:$D$7, 3, FALSE))</f>
        <v>Hardware</v>
      </c>
      <c r="I6" s="9">
        <f>IFERROR(INDEX(Product_Reference!$D$2:$D$7, MATCH(D6, Product_Reference!$A$2:$A$7, 0)),"N/A")</f>
        <v>1200</v>
      </c>
      <c r="J6" s="9">
        <f t="shared" si="1"/>
        <v>2938.66</v>
      </c>
    </row>
    <row r="7" spans="1:12" ht="15.6" x14ac:dyDescent="0.3">
      <c r="A7" s="7" t="s">
        <v>18</v>
      </c>
      <c r="B7" s="24">
        <v>45745</v>
      </c>
      <c r="C7" s="7" t="s">
        <v>6</v>
      </c>
      <c r="D7" s="7" t="s">
        <v>19</v>
      </c>
      <c r="E7" s="7">
        <v>3787.99</v>
      </c>
      <c r="F7" s="14" t="str">
        <f t="shared" si="0"/>
        <v>Mar</v>
      </c>
      <c r="G7" s="9" t="str">
        <f>IFERROR( _xlfn.XLOOKUP(D7, Product_Reference!$A$2:$A$7, Product_Reference!$B$2:$B$7, "Unknown Product"),"Check Reference")</f>
        <v>Keyboard</v>
      </c>
      <c r="H7" s="9" t="str">
        <f>IF(ISNA(VLOOKUP(D7, Product_Reference!$A$2:$D$7, 3, FALSE)),"Type Not Found",VLOOKUP(D7, Product_Reference!$A$2:$D$7, 3, FALSE))</f>
        <v>Accessories</v>
      </c>
      <c r="I7" s="9">
        <f>IFERROR(INDEX(Product_Reference!$D$2:$D$7, MATCH(D7, Product_Reference!$A$2:$A$7, 0)),"N/A")</f>
        <v>45</v>
      </c>
      <c r="J7" s="9">
        <f t="shared" si="1"/>
        <v>3742.99</v>
      </c>
    </row>
    <row r="8" spans="1:12" ht="15.6" x14ac:dyDescent="0.3">
      <c r="A8" s="7" t="s">
        <v>20</v>
      </c>
      <c r="B8" s="24">
        <v>45733</v>
      </c>
      <c r="C8" s="7" t="s">
        <v>21</v>
      </c>
      <c r="D8" s="7" t="s">
        <v>22</v>
      </c>
      <c r="E8" s="7">
        <v>1743.26</v>
      </c>
      <c r="F8" s="14" t="str">
        <f t="shared" si="0"/>
        <v>Mar</v>
      </c>
      <c r="G8" s="9" t="str">
        <f>IFERROR( _xlfn.XLOOKUP(D8, Product_Reference!$A$2:$A$7, Product_Reference!$B$2:$B$7, "Unknown Product"),"Check Reference")</f>
        <v>Office Suite</v>
      </c>
      <c r="H8" s="9" t="str">
        <f>IF(ISNA(VLOOKUP(D8, Product_Reference!$A$2:$D$7, 3, FALSE)),"Type Not Found",VLOOKUP(D8, Product_Reference!$A$2:$D$7, 3, FALSE))</f>
        <v>Software</v>
      </c>
      <c r="I8" s="9">
        <f>IFERROR(INDEX(Product_Reference!$D$2:$D$7, MATCH(D8, Product_Reference!$A$2:$A$7, 0)),"N/A")</f>
        <v>350</v>
      </c>
      <c r="J8" s="9">
        <f t="shared" si="1"/>
        <v>1393.26</v>
      </c>
    </row>
    <row r="9" spans="1:12" ht="15.6" x14ac:dyDescent="0.3">
      <c r="A9" s="7" t="s">
        <v>23</v>
      </c>
      <c r="B9" s="24">
        <v>45698</v>
      </c>
      <c r="C9" s="7" t="s">
        <v>6</v>
      </c>
      <c r="D9" s="7" t="s">
        <v>10</v>
      </c>
      <c r="E9" s="7">
        <v>3514.18</v>
      </c>
      <c r="F9" s="14" t="str">
        <f t="shared" si="0"/>
        <v>Feb</v>
      </c>
      <c r="G9" s="9" t="str">
        <f>IFERROR( _xlfn.XLOOKUP(D9, Product_Reference!$A$2:$A$7, Product_Reference!$B$2:$B$7, "Unknown Product"),"Check Reference")</f>
        <v>Desktop</v>
      </c>
      <c r="H9" s="9" t="str">
        <f>IF(ISNA(VLOOKUP(D9, Product_Reference!$A$2:$D$7, 3, FALSE)),"Type Not Found",VLOOKUP(D9, Product_Reference!$A$2:$D$7, 3, FALSE))</f>
        <v>Hardware</v>
      </c>
      <c r="I9" s="9">
        <f>IFERROR(INDEX(Product_Reference!$D$2:$D$7, MATCH(D9, Product_Reference!$A$2:$A$7, 0)),"N/A")</f>
        <v>800</v>
      </c>
      <c r="J9" s="9">
        <f t="shared" si="1"/>
        <v>2714.18</v>
      </c>
    </row>
    <row r="10" spans="1:12" ht="15.6" x14ac:dyDescent="0.3">
      <c r="A10" s="7" t="s">
        <v>24</v>
      </c>
      <c r="B10" s="24">
        <v>45790</v>
      </c>
      <c r="C10" s="7" t="s">
        <v>21</v>
      </c>
      <c r="D10" s="7" t="s">
        <v>25</v>
      </c>
      <c r="E10" s="7">
        <v>4428.38</v>
      </c>
      <c r="F10" s="14" t="str">
        <f t="shared" si="0"/>
        <v>May</v>
      </c>
      <c r="G10" s="9" t="str">
        <f>IFERROR( _xlfn.XLOOKUP(D10, Product_Reference!$A$2:$A$7, Product_Reference!$B$2:$B$7, "Unknown Product"),"Check Reference")</f>
        <v>Monitor</v>
      </c>
      <c r="H10" s="9" t="str">
        <f>IF(ISNA(VLOOKUP(D10, Product_Reference!$A$2:$D$7, 3, FALSE)),"Type Not Found",VLOOKUP(D10, Product_Reference!$A$2:$D$7, 3, FALSE))</f>
        <v>Hardware</v>
      </c>
      <c r="I10" s="9">
        <f>IFERROR(INDEX(Product_Reference!$D$2:$D$7, MATCH(D10, Product_Reference!$A$2:$A$7, 0)),"N/A")</f>
        <v>250</v>
      </c>
      <c r="J10" s="9">
        <f t="shared" si="1"/>
        <v>4178.38</v>
      </c>
    </row>
    <row r="11" spans="1:12" ht="15.6" x14ac:dyDescent="0.3">
      <c r="A11" s="7" t="s">
        <v>26</v>
      </c>
      <c r="B11" s="24">
        <v>45721</v>
      </c>
      <c r="C11" s="7" t="s">
        <v>21</v>
      </c>
      <c r="D11" s="7" t="s">
        <v>10</v>
      </c>
      <c r="E11" s="7">
        <v>395.13</v>
      </c>
      <c r="F11" s="14" t="str">
        <f t="shared" si="0"/>
        <v>Mar</v>
      </c>
      <c r="G11" s="9" t="str">
        <f>IFERROR( _xlfn.XLOOKUP(D11, Product_Reference!$A$2:$A$7, Product_Reference!$B$2:$B$7, "Unknown Product"),"Check Reference")</f>
        <v>Desktop</v>
      </c>
      <c r="H11" s="9" t="str">
        <f>IF(ISNA(VLOOKUP(D11, Product_Reference!$A$2:$D$7, 3, FALSE)),"Type Not Found",VLOOKUP(D11, Product_Reference!$A$2:$D$7, 3, FALSE))</f>
        <v>Hardware</v>
      </c>
      <c r="I11" s="9">
        <f>IFERROR(INDEX(Product_Reference!$D$2:$D$7, MATCH(D11, Product_Reference!$A$2:$A$7, 0)),"N/A")</f>
        <v>800</v>
      </c>
      <c r="J11" s="9">
        <f t="shared" si="1"/>
        <v>-404.87</v>
      </c>
    </row>
    <row r="12" spans="1:12" ht="15.6" x14ac:dyDescent="0.3">
      <c r="A12" s="7" t="s">
        <v>27</v>
      </c>
      <c r="B12" s="24">
        <v>45903</v>
      </c>
      <c r="C12" s="7" t="s">
        <v>21</v>
      </c>
      <c r="D12" s="7" t="s">
        <v>7</v>
      </c>
      <c r="E12" s="7">
        <v>3313.2</v>
      </c>
      <c r="F12" s="14" t="str">
        <f t="shared" si="0"/>
        <v>Sep</v>
      </c>
      <c r="G12" s="9" t="str">
        <f>IFERROR( _xlfn.XLOOKUP(D12, Product_Reference!$A$2:$A$7, Product_Reference!$B$2:$B$7, "Unknown Product"),"Check Reference")</f>
        <v>Cloud Storage</v>
      </c>
      <c r="H12" s="9" t="str">
        <f>IF(ISNA(VLOOKUP(D12, Product_Reference!$A$2:$D$7, 3, FALSE)),"Type Not Found",VLOOKUP(D12, Product_Reference!$A$2:$D$7, 3, FALSE))</f>
        <v>Software</v>
      </c>
      <c r="I12" s="9">
        <f>IFERROR(INDEX(Product_Reference!$D$2:$D$7, MATCH(D12, Product_Reference!$A$2:$A$7, 0)),"N/A")</f>
        <v>50</v>
      </c>
      <c r="J12" s="9">
        <f t="shared" si="1"/>
        <v>3263.2</v>
      </c>
    </row>
    <row r="13" spans="1:12" ht="15.6" x14ac:dyDescent="0.3">
      <c r="A13" s="7" t="s">
        <v>28</v>
      </c>
      <c r="B13" s="24">
        <v>45974</v>
      </c>
      <c r="C13" s="7" t="s">
        <v>16</v>
      </c>
      <c r="D13" s="7" t="s">
        <v>12</v>
      </c>
      <c r="E13" s="7">
        <v>1784.06</v>
      </c>
      <c r="F13" s="14" t="str">
        <f t="shared" si="0"/>
        <v>Nov</v>
      </c>
      <c r="G13" s="9" t="str">
        <f>IFERROR( _xlfn.XLOOKUP(D13, Product_Reference!$A$2:$A$7, Product_Reference!$B$2:$B$7, "Unknown Product"),"Check Reference")</f>
        <v>Unknown Product</v>
      </c>
      <c r="H13" s="9" t="str">
        <f>IF(ISNA(VLOOKUP(D13, Product_Reference!$A$2:$D$7, 3, FALSE)),"Type Not Found",VLOOKUP(D13, Product_Reference!$A$2:$D$7, 3, FALSE))</f>
        <v>Type Not Found</v>
      </c>
      <c r="I13" s="9" t="str">
        <f>IFERROR(INDEX(Product_Reference!$D$2:$D$7, MATCH(D13, Product_Reference!$A$2:$A$7, 0)),"N/A")</f>
        <v>N/A</v>
      </c>
      <c r="J13" s="9" t="str">
        <f t="shared" si="1"/>
        <v>Cannot Calculate</v>
      </c>
    </row>
    <row r="14" spans="1:12" ht="15.6" x14ac:dyDescent="0.3">
      <c r="A14" s="7" t="s">
        <v>29</v>
      </c>
      <c r="B14" s="24">
        <v>45878</v>
      </c>
      <c r="C14" s="7" t="s">
        <v>21</v>
      </c>
      <c r="D14" s="7" t="s">
        <v>10</v>
      </c>
      <c r="E14" s="7">
        <v>1645.32</v>
      </c>
      <c r="F14" s="14" t="str">
        <f t="shared" si="0"/>
        <v>Aug</v>
      </c>
      <c r="G14" s="9" t="str">
        <f>IFERROR( _xlfn.XLOOKUP(D14, Product_Reference!$A$2:$A$7, Product_Reference!$B$2:$B$7, "Unknown Product"),"Check Reference")</f>
        <v>Desktop</v>
      </c>
      <c r="H14" s="9" t="str">
        <f>IF(ISNA(VLOOKUP(D14, Product_Reference!$A$2:$D$7, 3, FALSE)),"Type Not Found",VLOOKUP(D14, Product_Reference!$A$2:$D$7, 3, FALSE))</f>
        <v>Hardware</v>
      </c>
      <c r="I14" s="9">
        <f>IFERROR(INDEX(Product_Reference!$D$2:$D$7, MATCH(D14, Product_Reference!$A$2:$A$7, 0)),"N/A")</f>
        <v>800</v>
      </c>
      <c r="J14" s="9">
        <f t="shared" si="1"/>
        <v>845.31999999999994</v>
      </c>
    </row>
    <row r="15" spans="1:12" ht="15.6" x14ac:dyDescent="0.3">
      <c r="A15" s="7" t="s">
        <v>30</v>
      </c>
      <c r="B15" s="24">
        <v>45850</v>
      </c>
      <c r="C15" s="7" t="s">
        <v>16</v>
      </c>
      <c r="D15" s="7" t="s">
        <v>7</v>
      </c>
      <c r="E15" s="7">
        <v>4510.8999999999996</v>
      </c>
      <c r="F15" s="14" t="str">
        <f t="shared" si="0"/>
        <v>Jul</v>
      </c>
      <c r="G15" s="9" t="str">
        <f>IFERROR( _xlfn.XLOOKUP(D15, Product_Reference!$A$2:$A$7, Product_Reference!$B$2:$B$7, "Unknown Product"),"Check Reference")</f>
        <v>Cloud Storage</v>
      </c>
      <c r="H15" s="9" t="str">
        <f>IF(ISNA(VLOOKUP(D15, Product_Reference!$A$2:$D$7, 3, FALSE)),"Type Not Found",VLOOKUP(D15, Product_Reference!$A$2:$D$7, 3, FALSE))</f>
        <v>Software</v>
      </c>
      <c r="I15" s="9">
        <f>IFERROR(INDEX(Product_Reference!$D$2:$D$7, MATCH(D15, Product_Reference!$A$2:$A$7, 0)),"N/A")</f>
        <v>50</v>
      </c>
      <c r="J15" s="9">
        <f t="shared" si="1"/>
        <v>4460.8999999999996</v>
      </c>
    </row>
    <row r="16" spans="1:12" ht="15.6" x14ac:dyDescent="0.3">
      <c r="A16" s="7" t="s">
        <v>31</v>
      </c>
      <c r="B16" s="24">
        <v>45768</v>
      </c>
      <c r="C16" s="7" t="s">
        <v>6</v>
      </c>
      <c r="D16" s="7" t="s">
        <v>25</v>
      </c>
      <c r="E16" s="7">
        <v>1768.11</v>
      </c>
      <c r="F16" s="14" t="str">
        <f t="shared" si="0"/>
        <v>Apr</v>
      </c>
      <c r="G16" s="9" t="str">
        <f>IFERROR( _xlfn.XLOOKUP(D16, Product_Reference!$A$2:$A$7, Product_Reference!$B$2:$B$7, "Unknown Product"),"Check Reference")</f>
        <v>Monitor</v>
      </c>
      <c r="H16" s="9" t="str">
        <f>IF(ISNA(VLOOKUP(D16, Product_Reference!$A$2:$D$7, 3, FALSE)),"Type Not Found",VLOOKUP(D16, Product_Reference!$A$2:$D$7, 3, FALSE))</f>
        <v>Hardware</v>
      </c>
      <c r="I16" s="9">
        <f>IFERROR(INDEX(Product_Reference!$D$2:$D$7, MATCH(D16, Product_Reference!$A$2:$A$7, 0)),"N/A")</f>
        <v>250</v>
      </c>
      <c r="J16" s="9">
        <f t="shared" si="1"/>
        <v>1518.11</v>
      </c>
    </row>
    <row r="17" spans="1:10" ht="15.6" x14ac:dyDescent="0.3">
      <c r="A17" s="7" t="s">
        <v>32</v>
      </c>
      <c r="B17" s="24">
        <v>45663</v>
      </c>
      <c r="C17" s="7" t="s">
        <v>21</v>
      </c>
      <c r="D17" s="7" t="s">
        <v>17</v>
      </c>
      <c r="E17" s="7">
        <v>4875.49</v>
      </c>
      <c r="F17" s="14" t="str">
        <f t="shared" si="0"/>
        <v>Jan</v>
      </c>
      <c r="G17" s="9" t="str">
        <f>IFERROR( _xlfn.XLOOKUP(D17, Product_Reference!$A$2:$A$7, Product_Reference!$B$2:$B$7, "Unknown Product"),"Check Reference")</f>
        <v>Laptop</v>
      </c>
      <c r="H17" s="9" t="str">
        <f>IF(ISNA(VLOOKUP(D17, Product_Reference!$A$2:$D$7, 3, FALSE)),"Type Not Found",VLOOKUP(D17, Product_Reference!$A$2:$D$7, 3, FALSE))</f>
        <v>Hardware</v>
      </c>
      <c r="I17" s="9">
        <f>IFERROR(INDEX(Product_Reference!$D$2:$D$7, MATCH(D17, Product_Reference!$A$2:$A$7, 0)),"N/A")</f>
        <v>1200</v>
      </c>
      <c r="J17" s="9">
        <f t="shared" si="1"/>
        <v>3675.49</v>
      </c>
    </row>
    <row r="18" spans="1:10" ht="15.6" x14ac:dyDescent="0.3">
      <c r="A18" s="7" t="s">
        <v>33</v>
      </c>
      <c r="B18" s="24">
        <v>45698</v>
      </c>
      <c r="C18" s="7" t="s">
        <v>6</v>
      </c>
      <c r="D18" s="7" t="s">
        <v>10</v>
      </c>
      <c r="E18" s="7">
        <v>3451.02</v>
      </c>
      <c r="F18" s="14" t="str">
        <f t="shared" si="0"/>
        <v>Feb</v>
      </c>
      <c r="G18" s="9" t="str">
        <f>IFERROR( _xlfn.XLOOKUP(D18, Product_Reference!$A$2:$A$7, Product_Reference!$B$2:$B$7, "Unknown Product"),"Check Reference")</f>
        <v>Desktop</v>
      </c>
      <c r="H18" s="9" t="str">
        <f>IF(ISNA(VLOOKUP(D18, Product_Reference!$A$2:$D$7, 3, FALSE)),"Type Not Found",VLOOKUP(D18, Product_Reference!$A$2:$D$7, 3, FALSE))</f>
        <v>Hardware</v>
      </c>
      <c r="I18" s="9">
        <f>IFERROR(INDEX(Product_Reference!$D$2:$D$7, MATCH(D18, Product_Reference!$A$2:$A$7, 0)),"N/A")</f>
        <v>800</v>
      </c>
      <c r="J18" s="9">
        <f t="shared" si="1"/>
        <v>2651.02</v>
      </c>
    </row>
    <row r="19" spans="1:10" ht="15.6" x14ac:dyDescent="0.3">
      <c r="A19" s="7" t="s">
        <v>34</v>
      </c>
      <c r="B19" s="24">
        <v>45707</v>
      </c>
      <c r="C19" s="7" t="s">
        <v>14</v>
      </c>
      <c r="D19" s="7" t="s">
        <v>10</v>
      </c>
      <c r="E19" s="7">
        <v>2937.31</v>
      </c>
      <c r="F19" s="14" t="str">
        <f t="shared" si="0"/>
        <v>Feb</v>
      </c>
      <c r="G19" s="9" t="str">
        <f>IFERROR( _xlfn.XLOOKUP(D19, Product_Reference!$A$2:$A$7, Product_Reference!$B$2:$B$7, "Unknown Product"),"Check Reference")</f>
        <v>Desktop</v>
      </c>
      <c r="H19" s="9" t="str">
        <f>IF(ISNA(VLOOKUP(D19, Product_Reference!$A$2:$D$7, 3, FALSE)),"Type Not Found",VLOOKUP(D19, Product_Reference!$A$2:$D$7, 3, FALSE))</f>
        <v>Hardware</v>
      </c>
      <c r="I19" s="9">
        <f>IFERROR(INDEX(Product_Reference!$D$2:$D$7, MATCH(D19, Product_Reference!$A$2:$A$7, 0)),"N/A")</f>
        <v>800</v>
      </c>
      <c r="J19" s="9">
        <f t="shared" si="1"/>
        <v>2137.31</v>
      </c>
    </row>
    <row r="20" spans="1:10" ht="15.6" x14ac:dyDescent="0.3">
      <c r="A20" s="7" t="s">
        <v>35</v>
      </c>
      <c r="B20" s="24">
        <v>45997</v>
      </c>
      <c r="C20" s="7" t="s">
        <v>21</v>
      </c>
      <c r="D20" s="7" t="s">
        <v>22</v>
      </c>
      <c r="E20" s="7">
        <v>4952.5</v>
      </c>
      <c r="F20" s="14" t="str">
        <f t="shared" si="0"/>
        <v>Dec</v>
      </c>
      <c r="G20" s="9" t="str">
        <f>IFERROR( _xlfn.XLOOKUP(D20, Product_Reference!$A$2:$A$7, Product_Reference!$B$2:$B$7, "Unknown Product"),"Check Reference")</f>
        <v>Office Suite</v>
      </c>
      <c r="H20" s="9" t="str">
        <f>IF(ISNA(VLOOKUP(D20, Product_Reference!$A$2:$D$7, 3, FALSE)),"Type Not Found",VLOOKUP(D20, Product_Reference!$A$2:$D$7, 3, FALSE))</f>
        <v>Software</v>
      </c>
      <c r="I20" s="9">
        <f>IFERROR(INDEX(Product_Reference!$D$2:$D$7, MATCH(D20, Product_Reference!$A$2:$A$7, 0)),"N/A")</f>
        <v>350</v>
      </c>
      <c r="J20" s="9">
        <f t="shared" si="1"/>
        <v>4602.5</v>
      </c>
    </row>
    <row r="21" spans="1:10" ht="15.75" customHeight="1" x14ac:dyDescent="0.3">
      <c r="A21" s="7" t="s">
        <v>36</v>
      </c>
      <c r="B21" s="24">
        <v>45769</v>
      </c>
      <c r="C21" s="7" t="s">
        <v>14</v>
      </c>
      <c r="D21" s="7" t="s">
        <v>7</v>
      </c>
      <c r="E21" s="7">
        <v>1234.32</v>
      </c>
      <c r="F21" s="14" t="str">
        <f t="shared" si="0"/>
        <v>Apr</v>
      </c>
      <c r="G21" s="9" t="str">
        <f>IFERROR( _xlfn.XLOOKUP(D21, Product_Reference!$A$2:$A$7, Product_Reference!$B$2:$B$7, "Unknown Product"),"Check Reference")</f>
        <v>Cloud Storage</v>
      </c>
      <c r="H21" s="9" t="str">
        <f>IF(ISNA(VLOOKUP(D21, Product_Reference!$A$2:$D$7, 3, FALSE)),"Type Not Found",VLOOKUP(D21, Product_Reference!$A$2:$D$7, 3, FALSE))</f>
        <v>Software</v>
      </c>
      <c r="I21" s="9">
        <f>IFERROR(INDEX(Product_Reference!$D$2:$D$7, MATCH(D21, Product_Reference!$A$2:$A$7, 0)),"N/A")</f>
        <v>50</v>
      </c>
      <c r="J21" s="9">
        <f t="shared" si="1"/>
        <v>1184.32</v>
      </c>
    </row>
    <row r="22" spans="1:10" ht="15.75" customHeight="1" x14ac:dyDescent="0.3">
      <c r="A22" s="7" t="s">
        <v>37</v>
      </c>
      <c r="B22" s="24">
        <v>45794</v>
      </c>
      <c r="C22" s="7" t="s">
        <v>16</v>
      </c>
      <c r="D22" s="7" t="s">
        <v>12</v>
      </c>
      <c r="E22" s="7">
        <v>432.01</v>
      </c>
      <c r="F22" s="14" t="str">
        <f t="shared" si="0"/>
        <v>May</v>
      </c>
      <c r="G22" s="9" t="str">
        <f>IFERROR( _xlfn.XLOOKUP(D22, Product_Reference!$A$2:$A$7, Product_Reference!$B$2:$B$7, "Unknown Product"),"Check Reference")</f>
        <v>Unknown Product</v>
      </c>
      <c r="H22" s="9" t="str">
        <f>IF(ISNA(VLOOKUP(D22, Product_Reference!$A$2:$D$7, 3, FALSE)),"Type Not Found",VLOOKUP(D22, Product_Reference!$A$2:$D$7, 3, FALSE))</f>
        <v>Type Not Found</v>
      </c>
      <c r="I22" s="9" t="str">
        <f>IFERROR(INDEX(Product_Reference!$D$2:$D$7, MATCH(D22, Product_Reference!$A$2:$A$7, 0)),"N/A")</f>
        <v>N/A</v>
      </c>
      <c r="J22" s="9" t="str">
        <f t="shared" si="1"/>
        <v>Cannot Calculate</v>
      </c>
    </row>
    <row r="23" spans="1:10" ht="15.75" customHeight="1" x14ac:dyDescent="0.3">
      <c r="A23" s="7" t="s">
        <v>38</v>
      </c>
      <c r="B23" s="24">
        <v>45717</v>
      </c>
      <c r="C23" s="7" t="s">
        <v>6</v>
      </c>
      <c r="D23" s="7" t="s">
        <v>7</v>
      </c>
      <c r="E23" s="7">
        <v>316.74</v>
      </c>
      <c r="F23" s="14" t="str">
        <f t="shared" si="0"/>
        <v>Mar</v>
      </c>
      <c r="G23" s="9" t="str">
        <f>IFERROR( _xlfn.XLOOKUP(D23, Product_Reference!$A$2:$A$7, Product_Reference!$B$2:$B$7, "Unknown Product"),"Check Reference")</f>
        <v>Cloud Storage</v>
      </c>
      <c r="H23" s="9" t="str">
        <f>IF(ISNA(VLOOKUP(D23, Product_Reference!$A$2:$D$7, 3, FALSE)),"Type Not Found",VLOOKUP(D23, Product_Reference!$A$2:$D$7, 3, FALSE))</f>
        <v>Software</v>
      </c>
      <c r="I23" s="9">
        <f>IFERROR(INDEX(Product_Reference!$D$2:$D$7, MATCH(D23, Product_Reference!$A$2:$A$7, 0)),"N/A")</f>
        <v>50</v>
      </c>
      <c r="J23" s="9">
        <f t="shared" si="1"/>
        <v>266.74</v>
      </c>
    </row>
    <row r="24" spans="1:10" ht="15.75" customHeight="1" x14ac:dyDescent="0.3">
      <c r="A24" s="7" t="s">
        <v>39</v>
      </c>
      <c r="B24" s="24">
        <v>45702</v>
      </c>
      <c r="C24" s="7" t="s">
        <v>16</v>
      </c>
      <c r="D24" s="7" t="s">
        <v>7</v>
      </c>
      <c r="E24" s="7">
        <v>4480.1099999999997</v>
      </c>
      <c r="F24" s="14" t="str">
        <f t="shared" si="0"/>
        <v>Feb</v>
      </c>
      <c r="G24" s="9" t="str">
        <f>IFERROR( _xlfn.XLOOKUP(D24, Product_Reference!$A$2:$A$7, Product_Reference!$B$2:$B$7, "Unknown Product"),"Check Reference")</f>
        <v>Cloud Storage</v>
      </c>
      <c r="H24" s="9" t="str">
        <f>IF(ISNA(VLOOKUP(D24, Product_Reference!$A$2:$D$7, 3, FALSE)),"Type Not Found",VLOOKUP(D24, Product_Reference!$A$2:$D$7, 3, FALSE))</f>
        <v>Software</v>
      </c>
      <c r="I24" s="9">
        <f>IFERROR(INDEX(Product_Reference!$D$2:$D$7, MATCH(D24, Product_Reference!$A$2:$A$7, 0)),"N/A")</f>
        <v>50</v>
      </c>
      <c r="J24" s="9">
        <f t="shared" si="1"/>
        <v>4430.1099999999997</v>
      </c>
    </row>
    <row r="25" spans="1:10" ht="15.75" customHeight="1" x14ac:dyDescent="0.3">
      <c r="A25" s="7" t="s">
        <v>40</v>
      </c>
      <c r="B25" s="24">
        <v>45986</v>
      </c>
      <c r="C25" s="7" t="s">
        <v>6</v>
      </c>
      <c r="D25" s="7" t="s">
        <v>19</v>
      </c>
      <c r="E25" s="7">
        <v>3668.33</v>
      </c>
      <c r="F25" s="14" t="str">
        <f t="shared" si="0"/>
        <v>Nov</v>
      </c>
      <c r="G25" s="9" t="str">
        <f>IFERROR( _xlfn.XLOOKUP(D25, Product_Reference!$A$2:$A$7, Product_Reference!$B$2:$B$7, "Unknown Product"),"Check Reference")</f>
        <v>Keyboard</v>
      </c>
      <c r="H25" s="9" t="str">
        <f>IF(ISNA(VLOOKUP(D25, Product_Reference!$A$2:$D$7, 3, FALSE)),"Type Not Found",VLOOKUP(D25, Product_Reference!$A$2:$D$7, 3, FALSE))</f>
        <v>Accessories</v>
      </c>
      <c r="I25" s="9">
        <f>IFERROR(INDEX(Product_Reference!$D$2:$D$7, MATCH(D25, Product_Reference!$A$2:$A$7, 0)),"N/A")</f>
        <v>45</v>
      </c>
      <c r="J25" s="9">
        <f t="shared" si="1"/>
        <v>3623.33</v>
      </c>
    </row>
    <row r="26" spans="1:10" ht="15.75" customHeight="1" x14ac:dyDescent="0.3">
      <c r="A26" s="7" t="s">
        <v>41</v>
      </c>
      <c r="B26" s="24">
        <v>45907</v>
      </c>
      <c r="C26" s="7" t="s">
        <v>9</v>
      </c>
      <c r="D26" s="7" t="s">
        <v>10</v>
      </c>
      <c r="E26" s="7">
        <v>3612.51</v>
      </c>
      <c r="F26" s="14" t="str">
        <f t="shared" si="0"/>
        <v>Sep</v>
      </c>
      <c r="G26" s="9" t="str">
        <f>IFERROR( _xlfn.XLOOKUP(D26, Product_Reference!$A$2:$A$7, Product_Reference!$B$2:$B$7, "Unknown Product"),"Check Reference")</f>
        <v>Desktop</v>
      </c>
      <c r="H26" s="9" t="str">
        <f>IF(ISNA(VLOOKUP(D26, Product_Reference!$A$2:$D$7, 3, FALSE)),"Type Not Found",VLOOKUP(D26, Product_Reference!$A$2:$D$7, 3, FALSE))</f>
        <v>Hardware</v>
      </c>
      <c r="I26" s="9">
        <f>IFERROR(INDEX(Product_Reference!$D$2:$D$7, MATCH(D26, Product_Reference!$A$2:$A$7, 0)),"N/A")</f>
        <v>800</v>
      </c>
      <c r="J26" s="9">
        <f t="shared" si="1"/>
        <v>2812.51</v>
      </c>
    </row>
    <row r="27" spans="1:10" ht="15.75" customHeight="1" x14ac:dyDescent="0.3">
      <c r="A27" s="7" t="s">
        <v>42</v>
      </c>
      <c r="B27" s="24">
        <v>45933</v>
      </c>
      <c r="C27" s="7" t="s">
        <v>9</v>
      </c>
      <c r="D27" s="7" t="s">
        <v>19</v>
      </c>
      <c r="E27" s="7">
        <v>3888.59</v>
      </c>
      <c r="F27" s="14" t="str">
        <f t="shared" si="0"/>
        <v>Oct</v>
      </c>
      <c r="G27" s="9" t="str">
        <f>IFERROR( _xlfn.XLOOKUP(D27, Product_Reference!$A$2:$A$7, Product_Reference!$B$2:$B$7, "Unknown Product"),"Check Reference")</f>
        <v>Keyboard</v>
      </c>
      <c r="H27" s="9" t="str">
        <f>IF(ISNA(VLOOKUP(D27, Product_Reference!$A$2:$D$7, 3, FALSE)),"Type Not Found",VLOOKUP(D27, Product_Reference!$A$2:$D$7, 3, FALSE))</f>
        <v>Accessories</v>
      </c>
      <c r="I27" s="9">
        <f>IFERROR(INDEX(Product_Reference!$D$2:$D$7, MATCH(D27, Product_Reference!$A$2:$A$7, 0)),"N/A")</f>
        <v>45</v>
      </c>
      <c r="J27" s="9">
        <f t="shared" si="1"/>
        <v>3843.59</v>
      </c>
    </row>
    <row r="28" spans="1:10" ht="15.75" customHeight="1" x14ac:dyDescent="0.3">
      <c r="A28" s="7" t="s">
        <v>43</v>
      </c>
      <c r="B28" s="24">
        <v>45784</v>
      </c>
      <c r="C28" s="7" t="s">
        <v>16</v>
      </c>
      <c r="D28" s="7" t="s">
        <v>17</v>
      </c>
      <c r="E28" s="7">
        <v>3810.27</v>
      </c>
      <c r="F28" s="14" t="str">
        <f t="shared" si="0"/>
        <v>May</v>
      </c>
      <c r="G28" s="9" t="str">
        <f>IFERROR( _xlfn.XLOOKUP(D28, Product_Reference!$A$2:$A$7, Product_Reference!$B$2:$B$7, "Unknown Product"),"Check Reference")</f>
        <v>Laptop</v>
      </c>
      <c r="H28" s="9" t="str">
        <f>IF(ISNA(VLOOKUP(D28, Product_Reference!$A$2:$D$7, 3, FALSE)),"Type Not Found",VLOOKUP(D28, Product_Reference!$A$2:$D$7, 3, FALSE))</f>
        <v>Hardware</v>
      </c>
      <c r="I28" s="9">
        <f>IFERROR(INDEX(Product_Reference!$D$2:$D$7, MATCH(D28, Product_Reference!$A$2:$A$7, 0)),"N/A")</f>
        <v>1200</v>
      </c>
      <c r="J28" s="9">
        <f t="shared" si="1"/>
        <v>2610.27</v>
      </c>
    </row>
    <row r="29" spans="1:10" ht="15.75" customHeight="1" x14ac:dyDescent="0.3">
      <c r="A29" s="7" t="s">
        <v>44</v>
      </c>
      <c r="B29" s="24">
        <v>45734</v>
      </c>
      <c r="C29" s="7" t="s">
        <v>14</v>
      </c>
      <c r="D29" s="7" t="s">
        <v>25</v>
      </c>
      <c r="E29" s="7">
        <v>468.43</v>
      </c>
      <c r="F29" s="14" t="str">
        <f t="shared" si="0"/>
        <v>Mar</v>
      </c>
      <c r="G29" s="9" t="str">
        <f>IFERROR( _xlfn.XLOOKUP(D29, Product_Reference!$A$2:$A$7, Product_Reference!$B$2:$B$7, "Unknown Product"),"Check Reference")</f>
        <v>Monitor</v>
      </c>
      <c r="H29" s="9" t="str">
        <f>IF(ISNA(VLOOKUP(D29, Product_Reference!$A$2:$D$7, 3, FALSE)),"Type Not Found",VLOOKUP(D29, Product_Reference!$A$2:$D$7, 3, FALSE))</f>
        <v>Hardware</v>
      </c>
      <c r="I29" s="9">
        <f>IFERROR(INDEX(Product_Reference!$D$2:$D$7, MATCH(D29, Product_Reference!$A$2:$A$7, 0)),"N/A")</f>
        <v>250</v>
      </c>
      <c r="J29" s="9">
        <f t="shared" si="1"/>
        <v>218.43</v>
      </c>
    </row>
    <row r="30" spans="1:10" ht="15.75" customHeight="1" x14ac:dyDescent="0.3">
      <c r="A30" s="7" t="s">
        <v>45</v>
      </c>
      <c r="B30" s="24">
        <v>45881</v>
      </c>
      <c r="C30" s="7" t="s">
        <v>16</v>
      </c>
      <c r="D30" s="7" t="s">
        <v>12</v>
      </c>
      <c r="E30" s="7">
        <v>2175.14</v>
      </c>
      <c r="F30" s="14" t="str">
        <f t="shared" si="0"/>
        <v>Aug</v>
      </c>
      <c r="G30" s="9" t="str">
        <f>IFERROR( _xlfn.XLOOKUP(D30, Product_Reference!$A$2:$A$7, Product_Reference!$B$2:$B$7, "Unknown Product"),"Check Reference")</f>
        <v>Unknown Product</v>
      </c>
      <c r="H30" s="9" t="str">
        <f>IF(ISNA(VLOOKUP(D30, Product_Reference!$A$2:$D$7, 3, FALSE)),"Type Not Found",VLOOKUP(D30, Product_Reference!$A$2:$D$7, 3, FALSE))</f>
        <v>Type Not Found</v>
      </c>
      <c r="I30" s="9" t="str">
        <f>IFERROR(INDEX(Product_Reference!$D$2:$D$7, MATCH(D30, Product_Reference!$A$2:$A$7, 0)),"N/A")</f>
        <v>N/A</v>
      </c>
      <c r="J30" s="9" t="str">
        <f t="shared" si="1"/>
        <v>Cannot Calculate</v>
      </c>
    </row>
    <row r="31" spans="1:10" ht="15.75" customHeight="1" x14ac:dyDescent="0.3">
      <c r="A31" s="7" t="s">
        <v>46</v>
      </c>
      <c r="B31" s="24">
        <v>45765</v>
      </c>
      <c r="C31" s="7" t="s">
        <v>21</v>
      </c>
      <c r="D31" s="7" t="s">
        <v>19</v>
      </c>
      <c r="E31" s="7">
        <v>2012.65</v>
      </c>
      <c r="F31" s="14" t="str">
        <f t="shared" si="0"/>
        <v>Apr</v>
      </c>
      <c r="G31" s="9" t="str">
        <f>IFERROR( _xlfn.XLOOKUP(D31, Product_Reference!$A$2:$A$7, Product_Reference!$B$2:$B$7, "Unknown Product"),"Check Reference")</f>
        <v>Keyboard</v>
      </c>
      <c r="H31" s="9" t="str">
        <f>IF(ISNA(VLOOKUP(D31, Product_Reference!$A$2:$D$7, 3, FALSE)),"Type Not Found",VLOOKUP(D31, Product_Reference!$A$2:$D$7, 3, FALSE))</f>
        <v>Accessories</v>
      </c>
      <c r="I31" s="9">
        <f>IFERROR(INDEX(Product_Reference!$D$2:$D$7, MATCH(D31, Product_Reference!$A$2:$A$7, 0)),"N/A")</f>
        <v>45</v>
      </c>
      <c r="J31" s="9">
        <f t="shared" si="1"/>
        <v>1967.65</v>
      </c>
    </row>
    <row r="32" spans="1:10" ht="15.75" customHeight="1" x14ac:dyDescent="0.3">
      <c r="A32" s="7" t="s">
        <v>47</v>
      </c>
      <c r="B32" s="24">
        <v>46001</v>
      </c>
      <c r="C32" s="7" t="s">
        <v>14</v>
      </c>
      <c r="D32" s="7" t="s">
        <v>7</v>
      </c>
      <c r="E32" s="7">
        <v>2455.81</v>
      </c>
      <c r="F32" s="14" t="str">
        <f t="shared" si="0"/>
        <v>Dec</v>
      </c>
      <c r="G32" s="9" t="str">
        <f>IFERROR( _xlfn.XLOOKUP(D32, Product_Reference!$A$2:$A$7, Product_Reference!$B$2:$B$7, "Unknown Product"),"Check Reference")</f>
        <v>Cloud Storage</v>
      </c>
      <c r="H32" s="9" t="str">
        <f>IF(ISNA(VLOOKUP(D32, Product_Reference!$A$2:$D$7, 3, FALSE)),"Type Not Found",VLOOKUP(D32, Product_Reference!$A$2:$D$7, 3, FALSE))</f>
        <v>Software</v>
      </c>
      <c r="I32" s="9">
        <f>IFERROR(INDEX(Product_Reference!$D$2:$D$7, MATCH(D32, Product_Reference!$A$2:$A$7, 0)),"N/A")</f>
        <v>50</v>
      </c>
      <c r="J32" s="9">
        <f t="shared" si="1"/>
        <v>2405.81</v>
      </c>
    </row>
    <row r="33" spans="1:10" ht="15.75" customHeight="1" x14ac:dyDescent="0.3">
      <c r="A33" s="7" t="s">
        <v>48</v>
      </c>
      <c r="B33" s="24">
        <v>45763</v>
      </c>
      <c r="C33" s="7" t="s">
        <v>6</v>
      </c>
      <c r="D33" s="7" t="s">
        <v>10</v>
      </c>
      <c r="E33" s="7">
        <v>2949.99</v>
      </c>
      <c r="F33" s="14" t="str">
        <f t="shared" si="0"/>
        <v>Apr</v>
      </c>
      <c r="G33" s="9" t="str">
        <f>IFERROR( _xlfn.XLOOKUP(D33, Product_Reference!$A$2:$A$7, Product_Reference!$B$2:$B$7, "Unknown Product"),"Check Reference")</f>
        <v>Desktop</v>
      </c>
      <c r="H33" s="9" t="str">
        <f>IF(ISNA(VLOOKUP(D33, Product_Reference!$A$2:$D$7, 3, FALSE)),"Type Not Found",VLOOKUP(D33, Product_Reference!$A$2:$D$7, 3, FALSE))</f>
        <v>Hardware</v>
      </c>
      <c r="I33" s="9">
        <f>IFERROR(INDEX(Product_Reference!$D$2:$D$7, MATCH(D33, Product_Reference!$A$2:$A$7, 0)),"N/A")</f>
        <v>800</v>
      </c>
      <c r="J33" s="9">
        <f t="shared" si="1"/>
        <v>2149.9899999999998</v>
      </c>
    </row>
    <row r="34" spans="1:10" ht="15.75" customHeight="1" x14ac:dyDescent="0.3">
      <c r="A34" s="7" t="s">
        <v>49</v>
      </c>
      <c r="B34" s="24">
        <v>45897</v>
      </c>
      <c r="C34" s="7" t="s">
        <v>21</v>
      </c>
      <c r="D34" s="7" t="s">
        <v>25</v>
      </c>
      <c r="E34" s="7">
        <v>311.75</v>
      </c>
      <c r="F34" s="14" t="str">
        <f t="shared" si="0"/>
        <v>Aug</v>
      </c>
      <c r="G34" s="9" t="str">
        <f>IFERROR( _xlfn.XLOOKUP(D34, Product_Reference!$A$2:$A$7, Product_Reference!$B$2:$B$7, "Unknown Product"),"Check Reference")</f>
        <v>Monitor</v>
      </c>
      <c r="H34" s="9" t="str">
        <f>IF(ISNA(VLOOKUP(D34, Product_Reference!$A$2:$D$7, 3, FALSE)),"Type Not Found",VLOOKUP(D34, Product_Reference!$A$2:$D$7, 3, FALSE))</f>
        <v>Hardware</v>
      </c>
      <c r="I34" s="9">
        <f>IFERROR(INDEX(Product_Reference!$D$2:$D$7, MATCH(D34, Product_Reference!$A$2:$A$7, 0)),"N/A")</f>
        <v>250</v>
      </c>
      <c r="J34" s="9">
        <f t="shared" si="1"/>
        <v>61.75</v>
      </c>
    </row>
    <row r="35" spans="1:10" ht="15.75" customHeight="1" x14ac:dyDescent="0.3">
      <c r="A35" s="7" t="s">
        <v>50</v>
      </c>
      <c r="B35" s="24">
        <v>45922</v>
      </c>
      <c r="C35" s="7" t="s">
        <v>6</v>
      </c>
      <c r="D35" s="7" t="s">
        <v>12</v>
      </c>
      <c r="E35" s="7">
        <v>4703.13</v>
      </c>
      <c r="F35" s="14" t="str">
        <f t="shared" si="0"/>
        <v>Sep</v>
      </c>
      <c r="G35" s="9" t="str">
        <f>IFERROR( _xlfn.XLOOKUP(D35, Product_Reference!$A$2:$A$7, Product_Reference!$B$2:$B$7, "Unknown Product"),"Check Reference")</f>
        <v>Unknown Product</v>
      </c>
      <c r="H35" s="9" t="str">
        <f>IF(ISNA(VLOOKUP(D35, Product_Reference!$A$2:$D$7, 3, FALSE)),"Type Not Found",VLOOKUP(D35, Product_Reference!$A$2:$D$7, 3, FALSE))</f>
        <v>Type Not Found</v>
      </c>
      <c r="I35" s="9" t="str">
        <f>IFERROR(INDEX(Product_Reference!$D$2:$D$7, MATCH(D35, Product_Reference!$A$2:$A$7, 0)),"N/A")</f>
        <v>N/A</v>
      </c>
      <c r="J35" s="9" t="str">
        <f t="shared" si="1"/>
        <v>Cannot Calculate</v>
      </c>
    </row>
    <row r="36" spans="1:10" ht="15.75" customHeight="1" x14ac:dyDescent="0.3">
      <c r="A36" s="7" t="s">
        <v>51</v>
      </c>
      <c r="B36" s="24">
        <v>45720</v>
      </c>
      <c r="C36" s="7" t="s">
        <v>14</v>
      </c>
      <c r="D36" s="7" t="s">
        <v>22</v>
      </c>
      <c r="E36" s="7">
        <v>3010.6</v>
      </c>
      <c r="F36" s="14" t="str">
        <f t="shared" si="0"/>
        <v>Mar</v>
      </c>
      <c r="G36" s="9" t="str">
        <f>IFERROR( _xlfn.XLOOKUP(D36, Product_Reference!$A$2:$A$7, Product_Reference!$B$2:$B$7, "Unknown Product"),"Check Reference")</f>
        <v>Office Suite</v>
      </c>
      <c r="H36" s="9" t="str">
        <f>IF(ISNA(VLOOKUP(D36, Product_Reference!$A$2:$D$7, 3, FALSE)),"Type Not Found",VLOOKUP(D36, Product_Reference!$A$2:$D$7, 3, FALSE))</f>
        <v>Software</v>
      </c>
      <c r="I36" s="9">
        <f>IFERROR(INDEX(Product_Reference!$D$2:$D$7, MATCH(D36, Product_Reference!$A$2:$A$7, 0)),"N/A")</f>
        <v>350</v>
      </c>
      <c r="J36" s="9">
        <f t="shared" si="1"/>
        <v>2660.6</v>
      </c>
    </row>
    <row r="37" spans="1:10" ht="15.75" customHeight="1" x14ac:dyDescent="0.3">
      <c r="A37" s="7" t="s">
        <v>52</v>
      </c>
      <c r="B37" s="24">
        <v>45822</v>
      </c>
      <c r="C37" s="7" t="s">
        <v>21</v>
      </c>
      <c r="D37" s="7" t="s">
        <v>17</v>
      </c>
      <c r="E37" s="7">
        <v>1964.9</v>
      </c>
      <c r="F37" s="14" t="str">
        <f t="shared" si="0"/>
        <v>Jun</v>
      </c>
      <c r="G37" s="9" t="str">
        <f>IFERROR( _xlfn.XLOOKUP(D37, Product_Reference!$A$2:$A$7, Product_Reference!$B$2:$B$7, "Unknown Product"),"Check Reference")</f>
        <v>Laptop</v>
      </c>
      <c r="H37" s="9" t="str">
        <f>IF(ISNA(VLOOKUP(D37, Product_Reference!$A$2:$D$7, 3, FALSE)),"Type Not Found",VLOOKUP(D37, Product_Reference!$A$2:$D$7, 3, FALSE))</f>
        <v>Hardware</v>
      </c>
      <c r="I37" s="9">
        <f>IFERROR(INDEX(Product_Reference!$D$2:$D$7, MATCH(D37, Product_Reference!$A$2:$A$7, 0)),"N/A")</f>
        <v>1200</v>
      </c>
      <c r="J37" s="9">
        <f t="shared" si="1"/>
        <v>764.90000000000009</v>
      </c>
    </row>
    <row r="38" spans="1:10" ht="15.75" customHeight="1" x14ac:dyDescent="0.3">
      <c r="A38" s="7" t="s">
        <v>53</v>
      </c>
      <c r="B38" s="24">
        <v>45757</v>
      </c>
      <c r="C38" s="7" t="s">
        <v>6</v>
      </c>
      <c r="D38" s="7" t="s">
        <v>19</v>
      </c>
      <c r="E38" s="7">
        <v>4976.5200000000004</v>
      </c>
      <c r="F38" s="14" t="str">
        <f t="shared" si="0"/>
        <v>Apr</v>
      </c>
      <c r="G38" s="9" t="str">
        <f>IFERROR( _xlfn.XLOOKUP(D38, Product_Reference!$A$2:$A$7, Product_Reference!$B$2:$B$7, "Unknown Product"),"Check Reference")</f>
        <v>Keyboard</v>
      </c>
      <c r="H38" s="9" t="str">
        <f>IF(ISNA(VLOOKUP(D38, Product_Reference!$A$2:$D$7, 3, FALSE)),"Type Not Found",VLOOKUP(D38, Product_Reference!$A$2:$D$7, 3, FALSE))</f>
        <v>Accessories</v>
      </c>
      <c r="I38" s="9">
        <f>IFERROR(INDEX(Product_Reference!$D$2:$D$7, MATCH(D38, Product_Reference!$A$2:$A$7, 0)),"N/A")</f>
        <v>45</v>
      </c>
      <c r="J38" s="9">
        <f t="shared" si="1"/>
        <v>4931.5200000000004</v>
      </c>
    </row>
    <row r="39" spans="1:10" ht="15.75" customHeight="1" x14ac:dyDescent="0.3">
      <c r="A39" s="7" t="s">
        <v>54</v>
      </c>
      <c r="B39" s="24">
        <v>45942</v>
      </c>
      <c r="C39" s="7" t="s">
        <v>14</v>
      </c>
      <c r="D39" s="7" t="s">
        <v>22</v>
      </c>
      <c r="E39" s="7">
        <v>1541.46</v>
      </c>
      <c r="F39" s="14" t="str">
        <f t="shared" si="0"/>
        <v>Oct</v>
      </c>
      <c r="G39" s="9" t="str">
        <f>IFERROR( _xlfn.XLOOKUP(D39, Product_Reference!$A$2:$A$7, Product_Reference!$B$2:$B$7, "Unknown Product"),"Check Reference")</f>
        <v>Office Suite</v>
      </c>
      <c r="H39" s="9" t="str">
        <f>IF(ISNA(VLOOKUP(D39, Product_Reference!$A$2:$D$7, 3, FALSE)),"Type Not Found",VLOOKUP(D39, Product_Reference!$A$2:$D$7, 3, FALSE))</f>
        <v>Software</v>
      </c>
      <c r="I39" s="9">
        <f>IFERROR(INDEX(Product_Reference!$D$2:$D$7, MATCH(D39, Product_Reference!$A$2:$A$7, 0)),"N/A")</f>
        <v>350</v>
      </c>
      <c r="J39" s="9">
        <f t="shared" si="1"/>
        <v>1191.46</v>
      </c>
    </row>
    <row r="40" spans="1:10" ht="15.75" customHeight="1" x14ac:dyDescent="0.3">
      <c r="A40" s="7" t="s">
        <v>55</v>
      </c>
      <c r="B40" s="24">
        <v>45977</v>
      </c>
      <c r="C40" s="7" t="s">
        <v>16</v>
      </c>
      <c r="D40" s="7" t="s">
        <v>7</v>
      </c>
      <c r="E40" s="7">
        <v>1294.73</v>
      </c>
      <c r="F40" s="14" t="str">
        <f t="shared" si="0"/>
        <v>Nov</v>
      </c>
      <c r="G40" s="9" t="str">
        <f>IFERROR( _xlfn.XLOOKUP(D40, Product_Reference!$A$2:$A$7, Product_Reference!$B$2:$B$7, "Unknown Product"),"Check Reference")</f>
        <v>Cloud Storage</v>
      </c>
      <c r="H40" s="9" t="str">
        <f>IF(ISNA(VLOOKUP(D40, Product_Reference!$A$2:$D$7, 3, FALSE)),"Type Not Found",VLOOKUP(D40, Product_Reference!$A$2:$D$7, 3, FALSE))</f>
        <v>Software</v>
      </c>
      <c r="I40" s="9">
        <f>IFERROR(INDEX(Product_Reference!$D$2:$D$7, MATCH(D40, Product_Reference!$A$2:$A$7, 0)),"N/A")</f>
        <v>50</v>
      </c>
      <c r="J40" s="9">
        <f t="shared" si="1"/>
        <v>1244.73</v>
      </c>
    </row>
    <row r="41" spans="1:10" ht="15.75" customHeight="1" x14ac:dyDescent="0.3">
      <c r="A41" s="7" t="s">
        <v>56</v>
      </c>
      <c r="B41" s="24">
        <v>45665</v>
      </c>
      <c r="C41" s="7" t="s">
        <v>14</v>
      </c>
      <c r="D41" s="7" t="s">
        <v>17</v>
      </c>
      <c r="E41" s="7">
        <v>4904.75</v>
      </c>
      <c r="F41" s="14" t="str">
        <f t="shared" si="0"/>
        <v>Jan</v>
      </c>
      <c r="G41" s="9" t="str">
        <f>IFERROR( _xlfn.XLOOKUP(D41, Product_Reference!$A$2:$A$7, Product_Reference!$B$2:$B$7, "Unknown Product"),"Check Reference")</f>
        <v>Laptop</v>
      </c>
      <c r="H41" s="9" t="str">
        <f>IF(ISNA(VLOOKUP(D41, Product_Reference!$A$2:$D$7, 3, FALSE)),"Type Not Found",VLOOKUP(D41, Product_Reference!$A$2:$D$7, 3, FALSE))</f>
        <v>Hardware</v>
      </c>
      <c r="I41" s="9">
        <f>IFERROR(INDEX(Product_Reference!$D$2:$D$7, MATCH(D41, Product_Reference!$A$2:$A$7, 0)),"N/A")</f>
        <v>1200</v>
      </c>
      <c r="J41" s="9">
        <f t="shared" si="1"/>
        <v>3704.75</v>
      </c>
    </row>
    <row r="42" spans="1:10" ht="15.75" customHeight="1" x14ac:dyDescent="0.3">
      <c r="A42" s="7" t="s">
        <v>57</v>
      </c>
      <c r="B42" s="24">
        <v>45761</v>
      </c>
      <c r="C42" s="7" t="s">
        <v>16</v>
      </c>
      <c r="D42" s="7" t="s">
        <v>17</v>
      </c>
      <c r="E42" s="7">
        <v>2132.0500000000002</v>
      </c>
      <c r="F42" s="14" t="str">
        <f t="shared" si="0"/>
        <v>Apr</v>
      </c>
      <c r="G42" s="9" t="str">
        <f>IFERROR( _xlfn.XLOOKUP(D42, Product_Reference!$A$2:$A$7, Product_Reference!$B$2:$B$7, "Unknown Product"),"Check Reference")</f>
        <v>Laptop</v>
      </c>
      <c r="H42" s="9" t="str">
        <f>IF(ISNA(VLOOKUP(D42, Product_Reference!$A$2:$D$7, 3, FALSE)),"Type Not Found",VLOOKUP(D42, Product_Reference!$A$2:$D$7, 3, FALSE))</f>
        <v>Hardware</v>
      </c>
      <c r="I42" s="9">
        <f>IFERROR(INDEX(Product_Reference!$D$2:$D$7, MATCH(D42, Product_Reference!$A$2:$A$7, 0)),"N/A")</f>
        <v>1200</v>
      </c>
      <c r="J42" s="9">
        <f t="shared" si="1"/>
        <v>932.05000000000018</v>
      </c>
    </row>
    <row r="43" spans="1:10" ht="15.75" customHeight="1" x14ac:dyDescent="0.3">
      <c r="A43" s="7" t="s">
        <v>58</v>
      </c>
      <c r="B43" s="24">
        <v>45952</v>
      </c>
      <c r="C43" s="7" t="s">
        <v>6</v>
      </c>
      <c r="D43" s="7" t="s">
        <v>10</v>
      </c>
      <c r="E43" s="7">
        <v>3122.71</v>
      </c>
      <c r="F43" s="14" t="str">
        <f t="shared" si="0"/>
        <v>Oct</v>
      </c>
      <c r="G43" s="9" t="str">
        <f>IFERROR( _xlfn.XLOOKUP(D43, Product_Reference!$A$2:$A$7, Product_Reference!$B$2:$B$7, "Unknown Product"),"Check Reference")</f>
        <v>Desktop</v>
      </c>
      <c r="H43" s="9" t="str">
        <f>IF(ISNA(VLOOKUP(D43, Product_Reference!$A$2:$D$7, 3, FALSE)),"Type Not Found",VLOOKUP(D43, Product_Reference!$A$2:$D$7, 3, FALSE))</f>
        <v>Hardware</v>
      </c>
      <c r="I43" s="9">
        <f>IFERROR(INDEX(Product_Reference!$D$2:$D$7, MATCH(D43, Product_Reference!$A$2:$A$7, 0)),"N/A")</f>
        <v>800</v>
      </c>
      <c r="J43" s="9">
        <f t="shared" si="1"/>
        <v>2322.71</v>
      </c>
    </row>
    <row r="44" spans="1:10" ht="15.75" customHeight="1" x14ac:dyDescent="0.3">
      <c r="A44" s="7" t="s">
        <v>59</v>
      </c>
      <c r="B44" s="24">
        <v>45896</v>
      </c>
      <c r="C44" s="7" t="s">
        <v>21</v>
      </c>
      <c r="D44" s="7" t="s">
        <v>17</v>
      </c>
      <c r="E44" s="7">
        <v>157.87</v>
      </c>
      <c r="F44" s="14" t="str">
        <f t="shared" si="0"/>
        <v>Aug</v>
      </c>
      <c r="G44" s="9" t="str">
        <f>IFERROR( _xlfn.XLOOKUP(D44, Product_Reference!$A$2:$A$7, Product_Reference!$B$2:$B$7, "Unknown Product"),"Check Reference")</f>
        <v>Laptop</v>
      </c>
      <c r="H44" s="9" t="str">
        <f>IF(ISNA(VLOOKUP(D44, Product_Reference!$A$2:$D$7, 3, FALSE)),"Type Not Found",VLOOKUP(D44, Product_Reference!$A$2:$D$7, 3, FALSE))</f>
        <v>Hardware</v>
      </c>
      <c r="I44" s="9">
        <f>IFERROR(INDEX(Product_Reference!$D$2:$D$7, MATCH(D44, Product_Reference!$A$2:$A$7, 0)),"N/A")</f>
        <v>1200</v>
      </c>
      <c r="J44" s="9">
        <f t="shared" si="1"/>
        <v>-1042.1300000000001</v>
      </c>
    </row>
    <row r="45" spans="1:10" ht="15.75" customHeight="1" x14ac:dyDescent="0.3">
      <c r="A45" s="7" t="s">
        <v>60</v>
      </c>
      <c r="B45" s="24">
        <v>45987</v>
      </c>
      <c r="C45" s="7" t="s">
        <v>6</v>
      </c>
      <c r="D45" s="7" t="s">
        <v>25</v>
      </c>
      <c r="E45" s="7">
        <v>2914.89</v>
      </c>
      <c r="F45" s="14" t="str">
        <f t="shared" si="0"/>
        <v>Nov</v>
      </c>
      <c r="G45" s="9" t="str">
        <f>IFERROR( _xlfn.XLOOKUP(D45, Product_Reference!$A$2:$A$7, Product_Reference!$B$2:$B$7, "Unknown Product"),"Check Reference")</f>
        <v>Monitor</v>
      </c>
      <c r="H45" s="9" t="str">
        <f>IF(ISNA(VLOOKUP(D45, Product_Reference!$A$2:$D$7, 3, FALSE)),"Type Not Found",VLOOKUP(D45, Product_Reference!$A$2:$D$7, 3, FALSE))</f>
        <v>Hardware</v>
      </c>
      <c r="I45" s="9">
        <f>IFERROR(INDEX(Product_Reference!$D$2:$D$7, MATCH(D45, Product_Reference!$A$2:$A$7, 0)),"N/A")</f>
        <v>250</v>
      </c>
      <c r="J45" s="9">
        <f t="shared" si="1"/>
        <v>2664.89</v>
      </c>
    </row>
    <row r="46" spans="1:10" ht="15.75" customHeight="1" x14ac:dyDescent="0.3">
      <c r="A46" s="7" t="s">
        <v>61</v>
      </c>
      <c r="B46" s="24">
        <v>45985</v>
      </c>
      <c r="C46" s="7" t="s">
        <v>9</v>
      </c>
      <c r="D46" s="7" t="s">
        <v>7</v>
      </c>
      <c r="E46" s="7">
        <v>668.5</v>
      </c>
      <c r="F46" s="14" t="str">
        <f t="shared" si="0"/>
        <v>Nov</v>
      </c>
      <c r="G46" s="9" t="str">
        <f>IFERROR( _xlfn.XLOOKUP(D46, Product_Reference!$A$2:$A$7, Product_Reference!$B$2:$B$7, "Unknown Product"),"Check Reference")</f>
        <v>Cloud Storage</v>
      </c>
      <c r="H46" s="9" t="str">
        <f>IF(ISNA(VLOOKUP(D46, Product_Reference!$A$2:$D$7, 3, FALSE)),"Type Not Found",VLOOKUP(D46, Product_Reference!$A$2:$D$7, 3, FALSE))</f>
        <v>Software</v>
      </c>
      <c r="I46" s="9">
        <f>IFERROR(INDEX(Product_Reference!$D$2:$D$7, MATCH(D46, Product_Reference!$A$2:$A$7, 0)),"N/A")</f>
        <v>50</v>
      </c>
      <c r="J46" s="9">
        <f t="shared" si="1"/>
        <v>618.5</v>
      </c>
    </row>
    <row r="47" spans="1:10" ht="15.75" customHeight="1" x14ac:dyDescent="0.3">
      <c r="A47" s="7" t="s">
        <v>62</v>
      </c>
      <c r="B47" s="24">
        <v>45761</v>
      </c>
      <c r="C47" s="7" t="s">
        <v>16</v>
      </c>
      <c r="D47" s="7" t="s">
        <v>17</v>
      </c>
      <c r="E47" s="7">
        <v>1860.76</v>
      </c>
      <c r="F47" s="14" t="str">
        <f t="shared" si="0"/>
        <v>Apr</v>
      </c>
      <c r="G47" s="9" t="str">
        <f>IFERROR( _xlfn.XLOOKUP(D47, Product_Reference!$A$2:$A$7, Product_Reference!$B$2:$B$7, "Unknown Product"),"Check Reference")</f>
        <v>Laptop</v>
      </c>
      <c r="H47" s="9" t="str">
        <f>IF(ISNA(VLOOKUP(D47, Product_Reference!$A$2:$D$7, 3, FALSE)),"Type Not Found",VLOOKUP(D47, Product_Reference!$A$2:$D$7, 3, FALSE))</f>
        <v>Hardware</v>
      </c>
      <c r="I47" s="9">
        <f>IFERROR(INDEX(Product_Reference!$D$2:$D$7, MATCH(D47, Product_Reference!$A$2:$A$7, 0)),"N/A")</f>
        <v>1200</v>
      </c>
      <c r="J47" s="9">
        <f t="shared" si="1"/>
        <v>660.76</v>
      </c>
    </row>
    <row r="48" spans="1:10" ht="15.75" customHeight="1" x14ac:dyDescent="0.3">
      <c r="A48" s="7" t="s">
        <v>63</v>
      </c>
      <c r="B48" s="24">
        <v>45958</v>
      </c>
      <c r="C48" s="7" t="s">
        <v>14</v>
      </c>
      <c r="D48" s="7" t="s">
        <v>7</v>
      </c>
      <c r="E48" s="7">
        <v>1559.2</v>
      </c>
      <c r="F48" s="14" t="str">
        <f t="shared" si="0"/>
        <v>Oct</v>
      </c>
      <c r="G48" s="9" t="str">
        <f>IFERROR( _xlfn.XLOOKUP(D48, Product_Reference!$A$2:$A$7, Product_Reference!$B$2:$B$7, "Unknown Product"),"Check Reference")</f>
        <v>Cloud Storage</v>
      </c>
      <c r="H48" s="9" t="str">
        <f>IF(ISNA(VLOOKUP(D48, Product_Reference!$A$2:$D$7, 3, FALSE)),"Type Not Found",VLOOKUP(D48, Product_Reference!$A$2:$D$7, 3, FALSE))</f>
        <v>Software</v>
      </c>
      <c r="I48" s="9">
        <f>IFERROR(INDEX(Product_Reference!$D$2:$D$7, MATCH(D48, Product_Reference!$A$2:$A$7, 0)),"N/A")</f>
        <v>50</v>
      </c>
      <c r="J48" s="9">
        <f t="shared" si="1"/>
        <v>1509.2</v>
      </c>
    </row>
    <row r="49" spans="1:10" ht="15.75" customHeight="1" x14ac:dyDescent="0.3">
      <c r="A49" s="7" t="s">
        <v>64</v>
      </c>
      <c r="B49" s="24">
        <v>45658</v>
      </c>
      <c r="C49" s="7" t="s">
        <v>21</v>
      </c>
      <c r="D49" s="7" t="s">
        <v>12</v>
      </c>
      <c r="E49" s="7">
        <v>882.77</v>
      </c>
      <c r="F49" s="14" t="str">
        <f t="shared" si="0"/>
        <v>Jan</v>
      </c>
      <c r="G49" s="9" t="str">
        <f>IFERROR( _xlfn.XLOOKUP(D49, Product_Reference!$A$2:$A$7, Product_Reference!$B$2:$B$7, "Unknown Product"),"Check Reference")</f>
        <v>Unknown Product</v>
      </c>
      <c r="H49" s="9" t="str">
        <f>IF(ISNA(VLOOKUP(D49, Product_Reference!$A$2:$D$7, 3, FALSE)),"Type Not Found",VLOOKUP(D49, Product_Reference!$A$2:$D$7, 3, FALSE))</f>
        <v>Type Not Found</v>
      </c>
      <c r="I49" s="9" t="str">
        <f>IFERROR(INDEX(Product_Reference!$D$2:$D$7, MATCH(D49, Product_Reference!$A$2:$A$7, 0)),"N/A")</f>
        <v>N/A</v>
      </c>
      <c r="J49" s="9" t="str">
        <f t="shared" si="1"/>
        <v>Cannot Calculate</v>
      </c>
    </row>
    <row r="50" spans="1:10" ht="15.75" customHeight="1" x14ac:dyDescent="0.3">
      <c r="A50" s="7" t="s">
        <v>65</v>
      </c>
      <c r="B50" s="24">
        <v>45774</v>
      </c>
      <c r="C50" s="7" t="s">
        <v>6</v>
      </c>
      <c r="D50" s="7" t="s">
        <v>12</v>
      </c>
      <c r="E50" s="7">
        <v>1817.12</v>
      </c>
      <c r="F50" s="14" t="str">
        <f t="shared" si="0"/>
        <v>Apr</v>
      </c>
      <c r="G50" s="9" t="str">
        <f>IFERROR( _xlfn.XLOOKUP(D50, Product_Reference!$A$2:$A$7, Product_Reference!$B$2:$B$7, "Unknown Product"),"Check Reference")</f>
        <v>Unknown Product</v>
      </c>
      <c r="H50" s="9" t="str">
        <f>IF(ISNA(VLOOKUP(D50, Product_Reference!$A$2:$D$7, 3, FALSE)),"Type Not Found",VLOOKUP(D50, Product_Reference!$A$2:$D$7, 3, FALSE))</f>
        <v>Type Not Found</v>
      </c>
      <c r="I50" s="9" t="str">
        <f>IFERROR(INDEX(Product_Reference!$D$2:$D$7, MATCH(D50, Product_Reference!$A$2:$A$7, 0)),"N/A")</f>
        <v>N/A</v>
      </c>
      <c r="J50" s="9" t="str">
        <f t="shared" si="1"/>
        <v>Cannot Calculate</v>
      </c>
    </row>
    <row r="51" spans="1:10" ht="15.75" customHeight="1" x14ac:dyDescent="0.3">
      <c r="A51" s="7" t="s">
        <v>66</v>
      </c>
      <c r="B51" s="24">
        <v>46020</v>
      </c>
      <c r="C51" s="7" t="s">
        <v>16</v>
      </c>
      <c r="D51" s="7" t="s">
        <v>19</v>
      </c>
      <c r="E51" s="7">
        <v>4676.55</v>
      </c>
      <c r="F51" s="14" t="str">
        <f t="shared" si="0"/>
        <v>Dec</v>
      </c>
      <c r="G51" s="9" t="str">
        <f>IFERROR( _xlfn.XLOOKUP(D51, Product_Reference!$A$2:$A$7, Product_Reference!$B$2:$B$7, "Unknown Product"),"Check Reference")</f>
        <v>Keyboard</v>
      </c>
      <c r="H51" s="9" t="str">
        <f>IF(ISNA(VLOOKUP(D51, Product_Reference!$A$2:$D$7, 3, FALSE)),"Type Not Found",VLOOKUP(D51, Product_Reference!$A$2:$D$7, 3, FALSE))</f>
        <v>Accessories</v>
      </c>
      <c r="I51" s="9">
        <f>IFERROR(INDEX(Product_Reference!$D$2:$D$7, MATCH(D51, Product_Reference!$A$2:$A$7, 0)),"N/A")</f>
        <v>45</v>
      </c>
      <c r="J51" s="9">
        <f t="shared" si="1"/>
        <v>4631.55</v>
      </c>
    </row>
    <row r="52" spans="1:10" ht="15.75" customHeight="1" x14ac:dyDescent="0.3">
      <c r="A52" s="7" t="s">
        <v>67</v>
      </c>
      <c r="B52" s="24">
        <v>45798</v>
      </c>
      <c r="C52" s="7" t="s">
        <v>16</v>
      </c>
      <c r="D52" s="7" t="s">
        <v>17</v>
      </c>
      <c r="E52" s="7">
        <v>3888.83</v>
      </c>
      <c r="F52" s="14" t="str">
        <f t="shared" si="0"/>
        <v>May</v>
      </c>
      <c r="G52" s="9" t="str">
        <f>IFERROR( _xlfn.XLOOKUP(D52, Product_Reference!$A$2:$A$7, Product_Reference!$B$2:$B$7, "Unknown Product"),"Check Reference")</f>
        <v>Laptop</v>
      </c>
      <c r="H52" s="9" t="str">
        <f>IF(ISNA(VLOOKUP(D52, Product_Reference!$A$2:$D$7, 3, FALSE)),"Type Not Found",VLOOKUP(D52, Product_Reference!$A$2:$D$7, 3, FALSE))</f>
        <v>Hardware</v>
      </c>
      <c r="I52" s="9">
        <f>IFERROR(INDEX(Product_Reference!$D$2:$D$7, MATCH(D52, Product_Reference!$A$2:$A$7, 0)),"N/A")</f>
        <v>1200</v>
      </c>
      <c r="J52" s="9">
        <f t="shared" si="1"/>
        <v>2688.83</v>
      </c>
    </row>
    <row r="53" spans="1:10" ht="15.75" customHeight="1" x14ac:dyDescent="0.3">
      <c r="A53" s="7" t="s">
        <v>68</v>
      </c>
      <c r="B53" s="24">
        <v>45931</v>
      </c>
      <c r="C53" s="7" t="s">
        <v>6</v>
      </c>
      <c r="D53" s="7" t="s">
        <v>10</v>
      </c>
      <c r="E53" s="7">
        <v>4545.25</v>
      </c>
      <c r="F53" s="14" t="str">
        <f t="shared" si="0"/>
        <v>Oct</v>
      </c>
      <c r="G53" s="9" t="str">
        <f>IFERROR( _xlfn.XLOOKUP(D53, Product_Reference!$A$2:$A$7, Product_Reference!$B$2:$B$7, "Unknown Product"),"Check Reference")</f>
        <v>Desktop</v>
      </c>
      <c r="H53" s="9" t="str">
        <f>IF(ISNA(VLOOKUP(D53, Product_Reference!$A$2:$D$7, 3, FALSE)),"Type Not Found",VLOOKUP(D53, Product_Reference!$A$2:$D$7, 3, FALSE))</f>
        <v>Hardware</v>
      </c>
      <c r="I53" s="9">
        <f>IFERROR(INDEX(Product_Reference!$D$2:$D$7, MATCH(D53, Product_Reference!$A$2:$A$7, 0)),"N/A")</f>
        <v>800</v>
      </c>
      <c r="J53" s="9">
        <f t="shared" si="1"/>
        <v>3745.25</v>
      </c>
    </row>
    <row r="54" spans="1:10" ht="15.75" customHeight="1" x14ac:dyDescent="0.3">
      <c r="A54" s="7" t="s">
        <v>69</v>
      </c>
      <c r="B54" s="24">
        <v>45906</v>
      </c>
      <c r="C54" s="7" t="s">
        <v>14</v>
      </c>
      <c r="D54" s="7" t="s">
        <v>10</v>
      </c>
      <c r="E54" s="7">
        <v>460.17</v>
      </c>
      <c r="F54" s="14" t="str">
        <f t="shared" si="0"/>
        <v>Sep</v>
      </c>
      <c r="G54" s="9" t="str">
        <f>IFERROR( _xlfn.XLOOKUP(D54, Product_Reference!$A$2:$A$7, Product_Reference!$B$2:$B$7, "Unknown Product"),"Check Reference")</f>
        <v>Desktop</v>
      </c>
      <c r="H54" s="9" t="str">
        <f>IF(ISNA(VLOOKUP(D54, Product_Reference!$A$2:$D$7, 3, FALSE)),"Type Not Found",VLOOKUP(D54, Product_Reference!$A$2:$D$7, 3, FALSE))</f>
        <v>Hardware</v>
      </c>
      <c r="I54" s="9">
        <f>IFERROR(INDEX(Product_Reference!$D$2:$D$7, MATCH(D54, Product_Reference!$A$2:$A$7, 0)),"N/A")</f>
        <v>800</v>
      </c>
      <c r="J54" s="9">
        <f t="shared" si="1"/>
        <v>-339.83</v>
      </c>
    </row>
    <row r="55" spans="1:10" ht="15.75" customHeight="1" x14ac:dyDescent="0.3">
      <c r="A55" s="7" t="s">
        <v>70</v>
      </c>
      <c r="B55" s="24">
        <v>45861</v>
      </c>
      <c r="C55" s="7" t="s">
        <v>21</v>
      </c>
      <c r="D55" s="7" t="s">
        <v>10</v>
      </c>
      <c r="E55" s="7">
        <v>1922.84</v>
      </c>
      <c r="F55" s="14" t="str">
        <f t="shared" si="0"/>
        <v>Jul</v>
      </c>
      <c r="G55" s="9" t="str">
        <f>IFERROR( _xlfn.XLOOKUP(D55, Product_Reference!$A$2:$A$7, Product_Reference!$B$2:$B$7, "Unknown Product"),"Check Reference")</f>
        <v>Desktop</v>
      </c>
      <c r="H55" s="9" t="str">
        <f>IF(ISNA(VLOOKUP(D55, Product_Reference!$A$2:$D$7, 3, FALSE)),"Type Not Found",VLOOKUP(D55, Product_Reference!$A$2:$D$7, 3, FALSE))</f>
        <v>Hardware</v>
      </c>
      <c r="I55" s="9">
        <f>IFERROR(INDEX(Product_Reference!$D$2:$D$7, MATCH(D55, Product_Reference!$A$2:$A$7, 0)),"N/A")</f>
        <v>800</v>
      </c>
      <c r="J55" s="9">
        <f t="shared" si="1"/>
        <v>1122.8399999999999</v>
      </c>
    </row>
    <row r="56" spans="1:10" ht="15.75" customHeight="1" x14ac:dyDescent="0.3">
      <c r="A56" s="7" t="s">
        <v>71</v>
      </c>
      <c r="B56" s="24">
        <v>46011</v>
      </c>
      <c r="C56" s="7" t="s">
        <v>6</v>
      </c>
      <c r="D56" s="7" t="s">
        <v>12</v>
      </c>
      <c r="E56" s="7">
        <v>1764.05</v>
      </c>
      <c r="F56" s="14" t="str">
        <f t="shared" si="0"/>
        <v>Dec</v>
      </c>
      <c r="G56" s="9" t="str">
        <f>IFERROR( _xlfn.XLOOKUP(D56, Product_Reference!$A$2:$A$7, Product_Reference!$B$2:$B$7, "Unknown Product"),"Check Reference")</f>
        <v>Unknown Product</v>
      </c>
      <c r="H56" s="9" t="str">
        <f>IF(ISNA(VLOOKUP(D56, Product_Reference!$A$2:$D$7, 3, FALSE)),"Type Not Found",VLOOKUP(D56, Product_Reference!$A$2:$D$7, 3, FALSE))</f>
        <v>Type Not Found</v>
      </c>
      <c r="I56" s="9" t="str">
        <f>IFERROR(INDEX(Product_Reference!$D$2:$D$7, MATCH(D56, Product_Reference!$A$2:$A$7, 0)),"N/A")</f>
        <v>N/A</v>
      </c>
      <c r="J56" s="9" t="str">
        <f t="shared" si="1"/>
        <v>Cannot Calculate</v>
      </c>
    </row>
    <row r="57" spans="1:10" ht="15.75" customHeight="1" x14ac:dyDescent="0.3">
      <c r="A57" s="7" t="s">
        <v>72</v>
      </c>
      <c r="B57" s="24">
        <v>45810</v>
      </c>
      <c r="C57" s="7" t="s">
        <v>9</v>
      </c>
      <c r="D57" s="7" t="s">
        <v>19</v>
      </c>
      <c r="E57" s="7">
        <v>745.14</v>
      </c>
      <c r="F57" s="14" t="str">
        <f t="shared" si="0"/>
        <v>Jun</v>
      </c>
      <c r="G57" s="9" t="str">
        <f>IFERROR( _xlfn.XLOOKUP(D57, Product_Reference!$A$2:$A$7, Product_Reference!$B$2:$B$7, "Unknown Product"),"Check Reference")</f>
        <v>Keyboard</v>
      </c>
      <c r="H57" s="9" t="str">
        <f>IF(ISNA(VLOOKUP(D57, Product_Reference!$A$2:$D$7, 3, FALSE)),"Type Not Found",VLOOKUP(D57, Product_Reference!$A$2:$D$7, 3, FALSE))</f>
        <v>Accessories</v>
      </c>
      <c r="I57" s="9">
        <f>IFERROR(INDEX(Product_Reference!$D$2:$D$7, MATCH(D57, Product_Reference!$A$2:$A$7, 0)),"N/A")</f>
        <v>45</v>
      </c>
      <c r="J57" s="9">
        <f t="shared" si="1"/>
        <v>700.14</v>
      </c>
    </row>
    <row r="58" spans="1:10" ht="15.75" customHeight="1" x14ac:dyDescent="0.3">
      <c r="A58" s="7" t="s">
        <v>73</v>
      </c>
      <c r="B58" s="24">
        <v>45822</v>
      </c>
      <c r="C58" s="7" t="s">
        <v>6</v>
      </c>
      <c r="D58" s="7" t="s">
        <v>7</v>
      </c>
      <c r="E58" s="7">
        <v>4361.57</v>
      </c>
      <c r="F58" s="14" t="str">
        <f t="shared" si="0"/>
        <v>Jun</v>
      </c>
      <c r="G58" s="9" t="str">
        <f>IFERROR( _xlfn.XLOOKUP(D58, Product_Reference!$A$2:$A$7, Product_Reference!$B$2:$B$7, "Unknown Product"),"Check Reference")</f>
        <v>Cloud Storage</v>
      </c>
      <c r="H58" s="9" t="str">
        <f>IF(ISNA(VLOOKUP(D58, Product_Reference!$A$2:$D$7, 3, FALSE)),"Type Not Found",VLOOKUP(D58, Product_Reference!$A$2:$D$7, 3, FALSE))</f>
        <v>Software</v>
      </c>
      <c r="I58" s="9">
        <f>IFERROR(INDEX(Product_Reference!$D$2:$D$7, MATCH(D58, Product_Reference!$A$2:$A$7, 0)),"N/A")</f>
        <v>50</v>
      </c>
      <c r="J58" s="9">
        <f t="shared" si="1"/>
        <v>4311.57</v>
      </c>
    </row>
    <row r="59" spans="1:10" ht="15.75" customHeight="1" x14ac:dyDescent="0.3">
      <c r="A59" s="7" t="s">
        <v>74</v>
      </c>
      <c r="B59" s="24">
        <v>45849</v>
      </c>
      <c r="C59" s="7" t="s">
        <v>16</v>
      </c>
      <c r="D59" s="7" t="s">
        <v>10</v>
      </c>
      <c r="E59" s="7">
        <v>286.36</v>
      </c>
      <c r="F59" s="14" t="str">
        <f t="shared" si="0"/>
        <v>Jul</v>
      </c>
      <c r="G59" s="9" t="str">
        <f>IFERROR( _xlfn.XLOOKUP(D59, Product_Reference!$A$2:$A$7, Product_Reference!$B$2:$B$7, "Unknown Product"),"Check Reference")</f>
        <v>Desktop</v>
      </c>
      <c r="H59" s="9" t="str">
        <f>IF(ISNA(VLOOKUP(D59, Product_Reference!$A$2:$D$7, 3, FALSE)),"Type Not Found",VLOOKUP(D59, Product_Reference!$A$2:$D$7, 3, FALSE))</f>
        <v>Hardware</v>
      </c>
      <c r="I59" s="9">
        <f>IFERROR(INDEX(Product_Reference!$D$2:$D$7, MATCH(D59, Product_Reference!$A$2:$A$7, 0)),"N/A")</f>
        <v>800</v>
      </c>
      <c r="J59" s="9">
        <f t="shared" si="1"/>
        <v>-513.64</v>
      </c>
    </row>
    <row r="60" spans="1:10" ht="15.75" customHeight="1" x14ac:dyDescent="0.3">
      <c r="A60" s="7" t="s">
        <v>75</v>
      </c>
      <c r="B60" s="24">
        <v>45933</v>
      </c>
      <c r="C60" s="7" t="s">
        <v>16</v>
      </c>
      <c r="D60" s="7" t="s">
        <v>25</v>
      </c>
      <c r="E60" s="7">
        <v>1084.06</v>
      </c>
      <c r="F60" s="14" t="str">
        <f t="shared" si="0"/>
        <v>Oct</v>
      </c>
      <c r="G60" s="9" t="str">
        <f>IFERROR( _xlfn.XLOOKUP(D60, Product_Reference!$A$2:$A$7, Product_Reference!$B$2:$B$7, "Unknown Product"),"Check Reference")</f>
        <v>Monitor</v>
      </c>
      <c r="H60" s="9" t="str">
        <f>IF(ISNA(VLOOKUP(D60, Product_Reference!$A$2:$D$7, 3, FALSE)),"Type Not Found",VLOOKUP(D60, Product_Reference!$A$2:$D$7, 3, FALSE))</f>
        <v>Hardware</v>
      </c>
      <c r="I60" s="9">
        <f>IFERROR(INDEX(Product_Reference!$D$2:$D$7, MATCH(D60, Product_Reference!$A$2:$A$7, 0)),"N/A")</f>
        <v>250</v>
      </c>
      <c r="J60" s="9">
        <f t="shared" si="1"/>
        <v>834.06</v>
      </c>
    </row>
    <row r="61" spans="1:10" ht="15.75" customHeight="1" x14ac:dyDescent="0.3">
      <c r="A61" s="7" t="s">
        <v>76</v>
      </c>
      <c r="B61" s="24">
        <v>45688</v>
      </c>
      <c r="C61" s="7" t="s">
        <v>16</v>
      </c>
      <c r="D61" s="7" t="s">
        <v>22</v>
      </c>
      <c r="E61" s="7">
        <v>2533.66</v>
      </c>
      <c r="F61" s="14" t="str">
        <f t="shared" si="0"/>
        <v>Jan</v>
      </c>
      <c r="G61" s="9" t="str">
        <f>IFERROR( _xlfn.XLOOKUP(D61, Product_Reference!$A$2:$A$7, Product_Reference!$B$2:$B$7, "Unknown Product"),"Check Reference")</f>
        <v>Office Suite</v>
      </c>
      <c r="H61" s="9" t="str">
        <f>IF(ISNA(VLOOKUP(D61, Product_Reference!$A$2:$D$7, 3, FALSE)),"Type Not Found",VLOOKUP(D61, Product_Reference!$A$2:$D$7, 3, FALSE))</f>
        <v>Software</v>
      </c>
      <c r="I61" s="9">
        <f>IFERROR(INDEX(Product_Reference!$D$2:$D$7, MATCH(D61, Product_Reference!$A$2:$A$7, 0)),"N/A")</f>
        <v>350</v>
      </c>
      <c r="J61" s="9">
        <f t="shared" si="1"/>
        <v>2183.66</v>
      </c>
    </row>
    <row r="62" spans="1:10" ht="15.75" customHeight="1" x14ac:dyDescent="0.3">
      <c r="A62" s="7" t="s">
        <v>77</v>
      </c>
      <c r="B62" s="24">
        <v>45668</v>
      </c>
      <c r="C62" s="7" t="s">
        <v>14</v>
      </c>
      <c r="D62" s="7" t="s">
        <v>10</v>
      </c>
      <c r="E62" s="7">
        <v>4779.8500000000004</v>
      </c>
      <c r="F62" s="14" t="str">
        <f t="shared" si="0"/>
        <v>Jan</v>
      </c>
      <c r="G62" s="9" t="str">
        <f>IFERROR( _xlfn.XLOOKUP(D62, Product_Reference!$A$2:$A$7, Product_Reference!$B$2:$B$7, "Unknown Product"),"Check Reference")</f>
        <v>Desktop</v>
      </c>
      <c r="H62" s="9" t="str">
        <f>IF(ISNA(VLOOKUP(D62, Product_Reference!$A$2:$D$7, 3, FALSE)),"Type Not Found",VLOOKUP(D62, Product_Reference!$A$2:$D$7, 3, FALSE))</f>
        <v>Hardware</v>
      </c>
      <c r="I62" s="9">
        <f>IFERROR(INDEX(Product_Reference!$D$2:$D$7, MATCH(D62, Product_Reference!$A$2:$A$7, 0)),"N/A")</f>
        <v>800</v>
      </c>
      <c r="J62" s="9">
        <f t="shared" si="1"/>
        <v>3979.8500000000004</v>
      </c>
    </row>
    <row r="63" spans="1:10" ht="15.75" customHeight="1" x14ac:dyDescent="0.3">
      <c r="A63" s="7" t="s">
        <v>78</v>
      </c>
      <c r="B63" s="24">
        <v>45761</v>
      </c>
      <c r="C63" s="7" t="s">
        <v>6</v>
      </c>
      <c r="D63" s="7" t="s">
        <v>22</v>
      </c>
      <c r="E63" s="7">
        <v>183.97</v>
      </c>
      <c r="F63" s="14" t="str">
        <f t="shared" si="0"/>
        <v>Apr</v>
      </c>
      <c r="G63" s="9" t="str">
        <f>IFERROR( _xlfn.XLOOKUP(D63, Product_Reference!$A$2:$A$7, Product_Reference!$B$2:$B$7, "Unknown Product"),"Check Reference")</f>
        <v>Office Suite</v>
      </c>
      <c r="H63" s="9" t="str">
        <f>IF(ISNA(VLOOKUP(D63, Product_Reference!$A$2:$D$7, 3, FALSE)),"Type Not Found",VLOOKUP(D63, Product_Reference!$A$2:$D$7, 3, FALSE))</f>
        <v>Software</v>
      </c>
      <c r="I63" s="9">
        <f>IFERROR(INDEX(Product_Reference!$D$2:$D$7, MATCH(D63, Product_Reference!$A$2:$A$7, 0)),"N/A")</f>
        <v>350</v>
      </c>
      <c r="J63" s="9">
        <f t="shared" si="1"/>
        <v>-166.03</v>
      </c>
    </row>
    <row r="64" spans="1:10" ht="15.75" customHeight="1" x14ac:dyDescent="0.3">
      <c r="A64" s="7" t="s">
        <v>79</v>
      </c>
      <c r="B64" s="24">
        <v>45934</v>
      </c>
      <c r="C64" s="7" t="s">
        <v>16</v>
      </c>
      <c r="D64" s="7" t="s">
        <v>12</v>
      </c>
      <c r="E64" s="7">
        <v>3838.01</v>
      </c>
      <c r="F64" s="14" t="str">
        <f t="shared" si="0"/>
        <v>Oct</v>
      </c>
      <c r="G64" s="9" t="str">
        <f>IFERROR( _xlfn.XLOOKUP(D64, Product_Reference!$A$2:$A$7, Product_Reference!$B$2:$B$7, "Unknown Product"),"Check Reference")</f>
        <v>Unknown Product</v>
      </c>
      <c r="H64" s="9" t="str">
        <f>IF(ISNA(VLOOKUP(D64, Product_Reference!$A$2:$D$7, 3, FALSE)),"Type Not Found",VLOOKUP(D64, Product_Reference!$A$2:$D$7, 3, FALSE))</f>
        <v>Type Not Found</v>
      </c>
      <c r="I64" s="9" t="str">
        <f>IFERROR(INDEX(Product_Reference!$D$2:$D$7, MATCH(D64, Product_Reference!$A$2:$A$7, 0)),"N/A")</f>
        <v>N/A</v>
      </c>
      <c r="J64" s="9" t="str">
        <f t="shared" si="1"/>
        <v>Cannot Calculate</v>
      </c>
    </row>
    <row r="65" spans="1:10" ht="15.75" customHeight="1" x14ac:dyDescent="0.3">
      <c r="A65" s="7" t="s">
        <v>80</v>
      </c>
      <c r="B65" s="24">
        <v>45922</v>
      </c>
      <c r="C65" s="7" t="s">
        <v>14</v>
      </c>
      <c r="D65" s="7" t="s">
        <v>12</v>
      </c>
      <c r="E65" s="7">
        <v>1518.21</v>
      </c>
      <c r="F65" s="14" t="str">
        <f t="shared" si="0"/>
        <v>Sep</v>
      </c>
      <c r="G65" s="9" t="str">
        <f>IFERROR( _xlfn.XLOOKUP(D65, Product_Reference!$A$2:$A$7, Product_Reference!$B$2:$B$7, "Unknown Product"),"Check Reference")</f>
        <v>Unknown Product</v>
      </c>
      <c r="H65" s="9" t="str">
        <f>IF(ISNA(VLOOKUP(D65, Product_Reference!$A$2:$D$7, 3, FALSE)),"Type Not Found",VLOOKUP(D65, Product_Reference!$A$2:$D$7, 3, FALSE))</f>
        <v>Type Not Found</v>
      </c>
      <c r="I65" s="9" t="str">
        <f>IFERROR(INDEX(Product_Reference!$D$2:$D$7, MATCH(D65, Product_Reference!$A$2:$A$7, 0)),"N/A")</f>
        <v>N/A</v>
      </c>
      <c r="J65" s="9" t="str">
        <f t="shared" si="1"/>
        <v>Cannot Calculate</v>
      </c>
    </row>
    <row r="66" spans="1:10" ht="15.75" customHeight="1" x14ac:dyDescent="0.3">
      <c r="A66" s="7" t="s">
        <v>81</v>
      </c>
      <c r="B66" s="24">
        <v>46000</v>
      </c>
      <c r="C66" s="7" t="s">
        <v>21</v>
      </c>
      <c r="D66" s="7" t="s">
        <v>25</v>
      </c>
      <c r="E66" s="7">
        <v>2855.83</v>
      </c>
      <c r="F66" s="14" t="str">
        <f t="shared" si="0"/>
        <v>Dec</v>
      </c>
      <c r="G66" s="9" t="str">
        <f>IFERROR( _xlfn.XLOOKUP(D66, Product_Reference!$A$2:$A$7, Product_Reference!$B$2:$B$7, "Unknown Product"),"Check Reference")</f>
        <v>Monitor</v>
      </c>
      <c r="H66" s="9" t="str">
        <f>IF(ISNA(VLOOKUP(D66, Product_Reference!$A$2:$D$7, 3, FALSE)),"Type Not Found",VLOOKUP(D66, Product_Reference!$A$2:$D$7, 3, FALSE))</f>
        <v>Hardware</v>
      </c>
      <c r="I66" s="9">
        <f>IFERROR(INDEX(Product_Reference!$D$2:$D$7, MATCH(D66, Product_Reference!$A$2:$A$7, 0)),"N/A")</f>
        <v>250</v>
      </c>
      <c r="J66" s="9">
        <f t="shared" si="1"/>
        <v>2605.83</v>
      </c>
    </row>
    <row r="67" spans="1:10" ht="15.75" customHeight="1" x14ac:dyDescent="0.3">
      <c r="A67" s="7" t="s">
        <v>82</v>
      </c>
      <c r="B67" s="24">
        <v>45940</v>
      </c>
      <c r="C67" s="7" t="s">
        <v>14</v>
      </c>
      <c r="D67" s="7" t="s">
        <v>12</v>
      </c>
      <c r="E67" s="7">
        <v>506.97</v>
      </c>
      <c r="F67" s="14" t="str">
        <f t="shared" ref="F67:F130" si="2">TEXT(B67, "mmm")</f>
        <v>Oct</v>
      </c>
      <c r="G67" s="9" t="str">
        <f>IFERROR( _xlfn.XLOOKUP(D67, Product_Reference!$A$2:$A$7, Product_Reference!$B$2:$B$7, "Unknown Product"),"Check Reference")</f>
        <v>Unknown Product</v>
      </c>
      <c r="H67" s="9" t="str">
        <f>IF(ISNA(VLOOKUP(D67, Product_Reference!$A$2:$D$7, 3, FALSE)),"Type Not Found",VLOOKUP(D67, Product_Reference!$A$2:$D$7, 3, FALSE))</f>
        <v>Type Not Found</v>
      </c>
      <c r="I67" s="9" t="str">
        <f>IFERROR(INDEX(Product_Reference!$D$2:$D$7, MATCH(D67, Product_Reference!$A$2:$A$7, 0)),"N/A")</f>
        <v>N/A</v>
      </c>
      <c r="J67" s="9" t="str">
        <f t="shared" ref="J67:J130" si="3">IFERROR(E67-I67, "Cannot Calculate")</f>
        <v>Cannot Calculate</v>
      </c>
    </row>
    <row r="68" spans="1:10" ht="15.75" customHeight="1" x14ac:dyDescent="0.3">
      <c r="A68" s="7" t="s">
        <v>83</v>
      </c>
      <c r="B68" s="24">
        <v>46001</v>
      </c>
      <c r="C68" s="7" t="s">
        <v>9</v>
      </c>
      <c r="D68" s="7" t="s">
        <v>10</v>
      </c>
      <c r="E68" s="7">
        <v>3205.48</v>
      </c>
      <c r="F68" s="14" t="str">
        <f t="shared" si="2"/>
        <v>Dec</v>
      </c>
      <c r="G68" s="9" t="str">
        <f>IFERROR( _xlfn.XLOOKUP(D68, Product_Reference!$A$2:$A$7, Product_Reference!$B$2:$B$7, "Unknown Product"),"Check Reference")</f>
        <v>Desktop</v>
      </c>
      <c r="H68" s="9" t="str">
        <f>IF(ISNA(VLOOKUP(D68, Product_Reference!$A$2:$D$7, 3, FALSE)),"Type Not Found",VLOOKUP(D68, Product_Reference!$A$2:$D$7, 3, FALSE))</f>
        <v>Hardware</v>
      </c>
      <c r="I68" s="9">
        <f>IFERROR(INDEX(Product_Reference!$D$2:$D$7, MATCH(D68, Product_Reference!$A$2:$A$7, 0)),"N/A")</f>
        <v>800</v>
      </c>
      <c r="J68" s="9">
        <f t="shared" si="3"/>
        <v>2405.48</v>
      </c>
    </row>
    <row r="69" spans="1:10" ht="15.75" customHeight="1" x14ac:dyDescent="0.3">
      <c r="A69" s="7" t="s">
        <v>84</v>
      </c>
      <c r="B69" s="24">
        <v>45832</v>
      </c>
      <c r="C69" s="7" t="s">
        <v>9</v>
      </c>
      <c r="D69" s="7" t="s">
        <v>7</v>
      </c>
      <c r="E69" s="7">
        <v>1808.04</v>
      </c>
      <c r="F69" s="14" t="str">
        <f t="shared" si="2"/>
        <v>Jun</v>
      </c>
      <c r="G69" s="9" t="str">
        <f>IFERROR( _xlfn.XLOOKUP(D69, Product_Reference!$A$2:$A$7, Product_Reference!$B$2:$B$7, "Unknown Product"),"Check Reference")</f>
        <v>Cloud Storage</v>
      </c>
      <c r="H69" s="9" t="str">
        <f>IF(ISNA(VLOOKUP(D69, Product_Reference!$A$2:$D$7, 3, FALSE)),"Type Not Found",VLOOKUP(D69, Product_Reference!$A$2:$D$7, 3, FALSE))</f>
        <v>Software</v>
      </c>
      <c r="I69" s="9">
        <f>IFERROR(INDEX(Product_Reference!$D$2:$D$7, MATCH(D69, Product_Reference!$A$2:$A$7, 0)),"N/A")</f>
        <v>50</v>
      </c>
      <c r="J69" s="9">
        <f t="shared" si="3"/>
        <v>1758.04</v>
      </c>
    </row>
    <row r="70" spans="1:10" ht="15.75" customHeight="1" x14ac:dyDescent="0.3">
      <c r="A70" s="7" t="s">
        <v>85</v>
      </c>
      <c r="B70" s="24">
        <v>45705</v>
      </c>
      <c r="C70" s="7" t="s">
        <v>21</v>
      </c>
      <c r="D70" s="7" t="s">
        <v>17</v>
      </c>
      <c r="E70" s="7">
        <v>2835.22</v>
      </c>
      <c r="F70" s="14" t="str">
        <f t="shared" si="2"/>
        <v>Feb</v>
      </c>
      <c r="G70" s="9" t="str">
        <f>IFERROR( _xlfn.XLOOKUP(D70, Product_Reference!$A$2:$A$7, Product_Reference!$B$2:$B$7, "Unknown Product"),"Check Reference")</f>
        <v>Laptop</v>
      </c>
      <c r="H70" s="9" t="str">
        <f>IF(ISNA(VLOOKUP(D70, Product_Reference!$A$2:$D$7, 3, FALSE)),"Type Not Found",VLOOKUP(D70, Product_Reference!$A$2:$D$7, 3, FALSE))</f>
        <v>Hardware</v>
      </c>
      <c r="I70" s="9">
        <f>IFERROR(INDEX(Product_Reference!$D$2:$D$7, MATCH(D70, Product_Reference!$A$2:$A$7, 0)),"N/A")</f>
        <v>1200</v>
      </c>
      <c r="J70" s="9">
        <f t="shared" si="3"/>
        <v>1635.2199999999998</v>
      </c>
    </row>
    <row r="71" spans="1:10" ht="15.75" customHeight="1" x14ac:dyDescent="0.3">
      <c r="A71" s="7" t="s">
        <v>86</v>
      </c>
      <c r="B71" s="24">
        <v>45887</v>
      </c>
      <c r="C71" s="7" t="s">
        <v>9</v>
      </c>
      <c r="D71" s="7" t="s">
        <v>12</v>
      </c>
      <c r="E71" s="7">
        <v>4049.2</v>
      </c>
      <c r="F71" s="14" t="str">
        <f t="shared" si="2"/>
        <v>Aug</v>
      </c>
      <c r="G71" s="9" t="str">
        <f>IFERROR( _xlfn.XLOOKUP(D71, Product_Reference!$A$2:$A$7, Product_Reference!$B$2:$B$7, "Unknown Product"),"Check Reference")</f>
        <v>Unknown Product</v>
      </c>
      <c r="H71" s="9" t="str">
        <f>IF(ISNA(VLOOKUP(D71, Product_Reference!$A$2:$D$7, 3, FALSE)),"Type Not Found",VLOOKUP(D71, Product_Reference!$A$2:$D$7, 3, FALSE))</f>
        <v>Type Not Found</v>
      </c>
      <c r="I71" s="9" t="str">
        <f>IFERROR(INDEX(Product_Reference!$D$2:$D$7, MATCH(D71, Product_Reference!$A$2:$A$7, 0)),"N/A")</f>
        <v>N/A</v>
      </c>
      <c r="J71" s="9" t="str">
        <f t="shared" si="3"/>
        <v>Cannot Calculate</v>
      </c>
    </row>
    <row r="72" spans="1:10" ht="15.75" customHeight="1" x14ac:dyDescent="0.3">
      <c r="A72" s="7" t="s">
        <v>87</v>
      </c>
      <c r="B72" s="24">
        <v>45872</v>
      </c>
      <c r="C72" s="7" t="s">
        <v>14</v>
      </c>
      <c r="D72" s="7" t="s">
        <v>25</v>
      </c>
      <c r="E72" s="7">
        <v>4781.1000000000004</v>
      </c>
      <c r="F72" s="14" t="str">
        <f t="shared" si="2"/>
        <v>Aug</v>
      </c>
      <c r="G72" s="9" t="str">
        <f>IFERROR( _xlfn.XLOOKUP(D72, Product_Reference!$A$2:$A$7, Product_Reference!$B$2:$B$7, "Unknown Product"),"Check Reference")</f>
        <v>Monitor</v>
      </c>
      <c r="H72" s="9" t="str">
        <f>IF(ISNA(VLOOKUP(D72, Product_Reference!$A$2:$D$7, 3, FALSE)),"Type Not Found",VLOOKUP(D72, Product_Reference!$A$2:$D$7, 3, FALSE))</f>
        <v>Hardware</v>
      </c>
      <c r="I72" s="9">
        <f>IFERROR(INDEX(Product_Reference!$D$2:$D$7, MATCH(D72, Product_Reference!$A$2:$A$7, 0)),"N/A")</f>
        <v>250</v>
      </c>
      <c r="J72" s="9">
        <f t="shared" si="3"/>
        <v>4531.1000000000004</v>
      </c>
    </row>
    <row r="73" spans="1:10" ht="15.75" customHeight="1" x14ac:dyDescent="0.3">
      <c r="A73" s="7" t="s">
        <v>88</v>
      </c>
      <c r="B73" s="24">
        <v>45795</v>
      </c>
      <c r="C73" s="7" t="s">
        <v>16</v>
      </c>
      <c r="D73" s="7" t="s">
        <v>25</v>
      </c>
      <c r="E73" s="7">
        <v>3153.61</v>
      </c>
      <c r="F73" s="14" t="str">
        <f t="shared" si="2"/>
        <v>May</v>
      </c>
      <c r="G73" s="9" t="str">
        <f>IFERROR( _xlfn.XLOOKUP(D73, Product_Reference!$A$2:$A$7, Product_Reference!$B$2:$B$7, "Unknown Product"),"Check Reference")</f>
        <v>Monitor</v>
      </c>
      <c r="H73" s="9" t="str">
        <f>IF(ISNA(VLOOKUP(D73, Product_Reference!$A$2:$D$7, 3, FALSE)),"Type Not Found",VLOOKUP(D73, Product_Reference!$A$2:$D$7, 3, FALSE))</f>
        <v>Hardware</v>
      </c>
      <c r="I73" s="9">
        <f>IFERROR(INDEX(Product_Reference!$D$2:$D$7, MATCH(D73, Product_Reference!$A$2:$A$7, 0)),"N/A")</f>
        <v>250</v>
      </c>
      <c r="J73" s="9">
        <f t="shared" si="3"/>
        <v>2903.61</v>
      </c>
    </row>
    <row r="74" spans="1:10" ht="15.75" customHeight="1" x14ac:dyDescent="0.3">
      <c r="A74" s="7" t="s">
        <v>89</v>
      </c>
      <c r="B74" s="24">
        <v>45831</v>
      </c>
      <c r="C74" s="7" t="s">
        <v>16</v>
      </c>
      <c r="D74" s="7" t="s">
        <v>25</v>
      </c>
      <c r="E74" s="7">
        <v>438.75</v>
      </c>
      <c r="F74" s="14" t="str">
        <f t="shared" si="2"/>
        <v>Jun</v>
      </c>
      <c r="G74" s="9" t="str">
        <f>IFERROR( _xlfn.XLOOKUP(D74, Product_Reference!$A$2:$A$7, Product_Reference!$B$2:$B$7, "Unknown Product"),"Check Reference")</f>
        <v>Monitor</v>
      </c>
      <c r="H74" s="9" t="str">
        <f>IF(ISNA(VLOOKUP(D74, Product_Reference!$A$2:$D$7, 3, FALSE)),"Type Not Found",VLOOKUP(D74, Product_Reference!$A$2:$D$7, 3, FALSE))</f>
        <v>Hardware</v>
      </c>
      <c r="I74" s="9">
        <f>IFERROR(INDEX(Product_Reference!$D$2:$D$7, MATCH(D74, Product_Reference!$A$2:$A$7, 0)),"N/A")</f>
        <v>250</v>
      </c>
      <c r="J74" s="9">
        <f t="shared" si="3"/>
        <v>188.75</v>
      </c>
    </row>
    <row r="75" spans="1:10" ht="15.75" customHeight="1" x14ac:dyDescent="0.3">
      <c r="A75" s="7" t="s">
        <v>90</v>
      </c>
      <c r="B75" s="24">
        <v>45716</v>
      </c>
      <c r="C75" s="7" t="s">
        <v>9</v>
      </c>
      <c r="D75" s="7" t="s">
        <v>19</v>
      </c>
      <c r="E75" s="7">
        <v>2146.5300000000002</v>
      </c>
      <c r="F75" s="14" t="str">
        <f t="shared" si="2"/>
        <v>Feb</v>
      </c>
      <c r="G75" s="9" t="str">
        <f>IFERROR( _xlfn.XLOOKUP(D75, Product_Reference!$A$2:$A$7, Product_Reference!$B$2:$B$7, "Unknown Product"),"Check Reference")</f>
        <v>Keyboard</v>
      </c>
      <c r="H75" s="9" t="str">
        <f>IF(ISNA(VLOOKUP(D75, Product_Reference!$A$2:$D$7, 3, FALSE)),"Type Not Found",VLOOKUP(D75, Product_Reference!$A$2:$D$7, 3, FALSE))</f>
        <v>Accessories</v>
      </c>
      <c r="I75" s="9">
        <f>IFERROR(INDEX(Product_Reference!$D$2:$D$7, MATCH(D75, Product_Reference!$A$2:$A$7, 0)),"N/A")</f>
        <v>45</v>
      </c>
      <c r="J75" s="9">
        <f t="shared" si="3"/>
        <v>2101.5300000000002</v>
      </c>
    </row>
    <row r="76" spans="1:10" ht="15.75" customHeight="1" x14ac:dyDescent="0.3">
      <c r="A76" s="7" t="s">
        <v>91</v>
      </c>
      <c r="B76" s="24">
        <v>45897</v>
      </c>
      <c r="C76" s="7" t="s">
        <v>9</v>
      </c>
      <c r="D76" s="7" t="s">
        <v>17</v>
      </c>
      <c r="E76" s="7">
        <v>1402.83</v>
      </c>
      <c r="F76" s="14" t="str">
        <f t="shared" si="2"/>
        <v>Aug</v>
      </c>
      <c r="G76" s="9" t="str">
        <f>IFERROR( _xlfn.XLOOKUP(D76, Product_Reference!$A$2:$A$7, Product_Reference!$B$2:$B$7, "Unknown Product"),"Check Reference")</f>
        <v>Laptop</v>
      </c>
      <c r="H76" s="9" t="str">
        <f>IF(ISNA(VLOOKUP(D76, Product_Reference!$A$2:$D$7, 3, FALSE)),"Type Not Found",VLOOKUP(D76, Product_Reference!$A$2:$D$7, 3, FALSE))</f>
        <v>Hardware</v>
      </c>
      <c r="I76" s="9">
        <f>IFERROR(INDEX(Product_Reference!$D$2:$D$7, MATCH(D76, Product_Reference!$A$2:$A$7, 0)),"N/A")</f>
        <v>1200</v>
      </c>
      <c r="J76" s="9">
        <f t="shared" si="3"/>
        <v>202.82999999999993</v>
      </c>
    </row>
    <row r="77" spans="1:10" ht="15.75" customHeight="1" x14ac:dyDescent="0.3">
      <c r="A77" s="7" t="s">
        <v>92</v>
      </c>
      <c r="B77" s="24">
        <v>45750</v>
      </c>
      <c r="C77" s="7" t="s">
        <v>21</v>
      </c>
      <c r="D77" s="7" t="s">
        <v>25</v>
      </c>
      <c r="E77" s="7">
        <v>3913.28</v>
      </c>
      <c r="F77" s="14" t="str">
        <f t="shared" si="2"/>
        <v>Apr</v>
      </c>
      <c r="G77" s="9" t="str">
        <f>IFERROR( _xlfn.XLOOKUP(D77, Product_Reference!$A$2:$A$7, Product_Reference!$B$2:$B$7, "Unknown Product"),"Check Reference")</f>
        <v>Monitor</v>
      </c>
      <c r="H77" s="9" t="str">
        <f>IF(ISNA(VLOOKUP(D77, Product_Reference!$A$2:$D$7, 3, FALSE)),"Type Not Found",VLOOKUP(D77, Product_Reference!$A$2:$D$7, 3, FALSE))</f>
        <v>Hardware</v>
      </c>
      <c r="I77" s="9">
        <f>IFERROR(INDEX(Product_Reference!$D$2:$D$7, MATCH(D77, Product_Reference!$A$2:$A$7, 0)),"N/A")</f>
        <v>250</v>
      </c>
      <c r="J77" s="9">
        <f t="shared" si="3"/>
        <v>3663.28</v>
      </c>
    </row>
    <row r="78" spans="1:10" ht="15.75" customHeight="1" x14ac:dyDescent="0.3">
      <c r="A78" s="7" t="s">
        <v>93</v>
      </c>
      <c r="B78" s="24">
        <v>45771</v>
      </c>
      <c r="C78" s="7" t="s">
        <v>16</v>
      </c>
      <c r="D78" s="7" t="s">
        <v>25</v>
      </c>
      <c r="E78" s="7">
        <v>4036.15</v>
      </c>
      <c r="F78" s="14" t="str">
        <f t="shared" si="2"/>
        <v>Apr</v>
      </c>
      <c r="G78" s="9" t="str">
        <f>IFERROR( _xlfn.XLOOKUP(D78, Product_Reference!$A$2:$A$7, Product_Reference!$B$2:$B$7, "Unknown Product"),"Check Reference")</f>
        <v>Monitor</v>
      </c>
      <c r="H78" s="9" t="str">
        <f>IF(ISNA(VLOOKUP(D78, Product_Reference!$A$2:$D$7, 3, FALSE)),"Type Not Found",VLOOKUP(D78, Product_Reference!$A$2:$D$7, 3, FALSE))</f>
        <v>Hardware</v>
      </c>
      <c r="I78" s="9">
        <f>IFERROR(INDEX(Product_Reference!$D$2:$D$7, MATCH(D78, Product_Reference!$A$2:$A$7, 0)),"N/A")</f>
        <v>250</v>
      </c>
      <c r="J78" s="9">
        <f t="shared" si="3"/>
        <v>3786.15</v>
      </c>
    </row>
    <row r="79" spans="1:10" ht="15.75" customHeight="1" x14ac:dyDescent="0.3">
      <c r="A79" s="7" t="s">
        <v>94</v>
      </c>
      <c r="B79" s="24">
        <v>45686</v>
      </c>
      <c r="C79" s="7" t="s">
        <v>21</v>
      </c>
      <c r="D79" s="7" t="s">
        <v>22</v>
      </c>
      <c r="E79" s="7">
        <v>3037.2</v>
      </c>
      <c r="F79" s="14" t="str">
        <f t="shared" si="2"/>
        <v>Jan</v>
      </c>
      <c r="G79" s="9" t="str">
        <f>IFERROR( _xlfn.XLOOKUP(D79, Product_Reference!$A$2:$A$7, Product_Reference!$B$2:$B$7, "Unknown Product"),"Check Reference")</f>
        <v>Office Suite</v>
      </c>
      <c r="H79" s="9" t="str">
        <f>IF(ISNA(VLOOKUP(D79, Product_Reference!$A$2:$D$7, 3, FALSE)),"Type Not Found",VLOOKUP(D79, Product_Reference!$A$2:$D$7, 3, FALSE))</f>
        <v>Software</v>
      </c>
      <c r="I79" s="9">
        <f>IFERROR(INDEX(Product_Reference!$D$2:$D$7, MATCH(D79, Product_Reference!$A$2:$A$7, 0)),"N/A")</f>
        <v>350</v>
      </c>
      <c r="J79" s="9">
        <f t="shared" si="3"/>
        <v>2687.2</v>
      </c>
    </row>
    <row r="80" spans="1:10" ht="15.75" customHeight="1" x14ac:dyDescent="0.3">
      <c r="A80" s="7" t="s">
        <v>95</v>
      </c>
      <c r="B80" s="24">
        <v>45661</v>
      </c>
      <c r="C80" s="7" t="s">
        <v>9</v>
      </c>
      <c r="D80" s="7" t="s">
        <v>22</v>
      </c>
      <c r="E80" s="7">
        <v>2344.16</v>
      </c>
      <c r="F80" s="14" t="str">
        <f t="shared" si="2"/>
        <v>Jan</v>
      </c>
      <c r="G80" s="9" t="str">
        <f>IFERROR( _xlfn.XLOOKUP(D80, Product_Reference!$A$2:$A$7, Product_Reference!$B$2:$B$7, "Unknown Product"),"Check Reference")</f>
        <v>Office Suite</v>
      </c>
      <c r="H80" s="9" t="str">
        <f>IF(ISNA(VLOOKUP(D80, Product_Reference!$A$2:$D$7, 3, FALSE)),"Type Not Found",VLOOKUP(D80, Product_Reference!$A$2:$D$7, 3, FALSE))</f>
        <v>Software</v>
      </c>
      <c r="I80" s="9">
        <f>IFERROR(INDEX(Product_Reference!$D$2:$D$7, MATCH(D80, Product_Reference!$A$2:$A$7, 0)),"N/A")</f>
        <v>350</v>
      </c>
      <c r="J80" s="9">
        <f t="shared" si="3"/>
        <v>1994.1599999999999</v>
      </c>
    </row>
    <row r="81" spans="1:10" ht="15.75" customHeight="1" x14ac:dyDescent="0.3">
      <c r="A81" s="7" t="s">
        <v>96</v>
      </c>
      <c r="B81" s="24">
        <v>45997</v>
      </c>
      <c r="C81" s="7" t="s">
        <v>16</v>
      </c>
      <c r="D81" s="7" t="s">
        <v>19</v>
      </c>
      <c r="E81" s="7">
        <v>856.74</v>
      </c>
      <c r="F81" s="14" t="str">
        <f t="shared" si="2"/>
        <v>Dec</v>
      </c>
      <c r="G81" s="9" t="str">
        <f>IFERROR( _xlfn.XLOOKUP(D81, Product_Reference!$A$2:$A$7, Product_Reference!$B$2:$B$7, "Unknown Product"),"Check Reference")</f>
        <v>Keyboard</v>
      </c>
      <c r="H81" s="9" t="str">
        <f>IF(ISNA(VLOOKUP(D81, Product_Reference!$A$2:$D$7, 3, FALSE)),"Type Not Found",VLOOKUP(D81, Product_Reference!$A$2:$D$7, 3, FALSE))</f>
        <v>Accessories</v>
      </c>
      <c r="I81" s="9">
        <f>IFERROR(INDEX(Product_Reference!$D$2:$D$7, MATCH(D81, Product_Reference!$A$2:$A$7, 0)),"N/A")</f>
        <v>45</v>
      </c>
      <c r="J81" s="9">
        <f t="shared" si="3"/>
        <v>811.74</v>
      </c>
    </row>
    <row r="82" spans="1:10" ht="15.75" customHeight="1" x14ac:dyDescent="0.3">
      <c r="A82" s="7" t="s">
        <v>97</v>
      </c>
      <c r="B82" s="24">
        <v>45998</v>
      </c>
      <c r="C82" s="7" t="s">
        <v>14</v>
      </c>
      <c r="D82" s="7" t="s">
        <v>25</v>
      </c>
      <c r="E82" s="7">
        <v>1784.01</v>
      </c>
      <c r="F82" s="14" t="str">
        <f t="shared" si="2"/>
        <v>Dec</v>
      </c>
      <c r="G82" s="9" t="str">
        <f>IFERROR( _xlfn.XLOOKUP(D82, Product_Reference!$A$2:$A$7, Product_Reference!$B$2:$B$7, "Unknown Product"),"Check Reference")</f>
        <v>Monitor</v>
      </c>
      <c r="H82" s="9" t="str">
        <f>IF(ISNA(VLOOKUP(D82, Product_Reference!$A$2:$D$7, 3, FALSE)),"Type Not Found",VLOOKUP(D82, Product_Reference!$A$2:$D$7, 3, FALSE))</f>
        <v>Hardware</v>
      </c>
      <c r="I82" s="9">
        <f>IFERROR(INDEX(Product_Reference!$D$2:$D$7, MATCH(D82, Product_Reference!$A$2:$A$7, 0)),"N/A")</f>
        <v>250</v>
      </c>
      <c r="J82" s="9">
        <f t="shared" si="3"/>
        <v>1534.01</v>
      </c>
    </row>
    <row r="83" spans="1:10" ht="15.75" customHeight="1" x14ac:dyDescent="0.3">
      <c r="A83" s="7" t="s">
        <v>98</v>
      </c>
      <c r="B83" s="24">
        <v>45961</v>
      </c>
      <c r="C83" s="7" t="s">
        <v>9</v>
      </c>
      <c r="D83" s="7" t="s">
        <v>12</v>
      </c>
      <c r="E83" s="7">
        <v>2554.8000000000002</v>
      </c>
      <c r="F83" s="14" t="str">
        <f t="shared" si="2"/>
        <v>Oct</v>
      </c>
      <c r="G83" s="9" t="str">
        <f>IFERROR( _xlfn.XLOOKUP(D83, Product_Reference!$A$2:$A$7, Product_Reference!$B$2:$B$7, "Unknown Product"),"Check Reference")</f>
        <v>Unknown Product</v>
      </c>
      <c r="H83" s="9" t="str">
        <f>IF(ISNA(VLOOKUP(D83, Product_Reference!$A$2:$D$7, 3, FALSE)),"Type Not Found",VLOOKUP(D83, Product_Reference!$A$2:$D$7, 3, FALSE))</f>
        <v>Type Not Found</v>
      </c>
      <c r="I83" s="9" t="str">
        <f>IFERROR(INDEX(Product_Reference!$D$2:$D$7, MATCH(D83, Product_Reference!$A$2:$A$7, 0)),"N/A")</f>
        <v>N/A</v>
      </c>
      <c r="J83" s="9" t="str">
        <f t="shared" si="3"/>
        <v>Cannot Calculate</v>
      </c>
    </row>
    <row r="84" spans="1:10" ht="15.75" customHeight="1" x14ac:dyDescent="0.3">
      <c r="A84" s="7" t="s">
        <v>99</v>
      </c>
      <c r="B84" s="24">
        <v>45672</v>
      </c>
      <c r="C84" s="7" t="s">
        <v>9</v>
      </c>
      <c r="D84" s="7" t="s">
        <v>10</v>
      </c>
      <c r="E84" s="7">
        <v>2880.3</v>
      </c>
      <c r="F84" s="14" t="str">
        <f t="shared" si="2"/>
        <v>Jan</v>
      </c>
      <c r="G84" s="9" t="str">
        <f>IFERROR( _xlfn.XLOOKUP(D84, Product_Reference!$A$2:$A$7, Product_Reference!$B$2:$B$7, "Unknown Product"),"Check Reference")</f>
        <v>Desktop</v>
      </c>
      <c r="H84" s="9" t="str">
        <f>IF(ISNA(VLOOKUP(D84, Product_Reference!$A$2:$D$7, 3, FALSE)),"Type Not Found",VLOOKUP(D84, Product_Reference!$A$2:$D$7, 3, FALSE))</f>
        <v>Hardware</v>
      </c>
      <c r="I84" s="9">
        <f>IFERROR(INDEX(Product_Reference!$D$2:$D$7, MATCH(D84, Product_Reference!$A$2:$A$7, 0)),"N/A")</f>
        <v>800</v>
      </c>
      <c r="J84" s="9">
        <f t="shared" si="3"/>
        <v>2080.3000000000002</v>
      </c>
    </row>
    <row r="85" spans="1:10" ht="15.75" customHeight="1" x14ac:dyDescent="0.3">
      <c r="A85" s="7" t="s">
        <v>100</v>
      </c>
      <c r="B85" s="24">
        <v>45908</v>
      </c>
      <c r="C85" s="7" t="s">
        <v>6</v>
      </c>
      <c r="D85" s="7" t="s">
        <v>25</v>
      </c>
      <c r="E85" s="7">
        <v>272.32</v>
      </c>
      <c r="F85" s="14" t="str">
        <f t="shared" si="2"/>
        <v>Sep</v>
      </c>
      <c r="G85" s="9" t="str">
        <f>IFERROR( _xlfn.XLOOKUP(D85, Product_Reference!$A$2:$A$7, Product_Reference!$B$2:$B$7, "Unknown Product"),"Check Reference")</f>
        <v>Monitor</v>
      </c>
      <c r="H85" s="9" t="str">
        <f>IF(ISNA(VLOOKUP(D85, Product_Reference!$A$2:$D$7, 3, FALSE)),"Type Not Found",VLOOKUP(D85, Product_Reference!$A$2:$D$7, 3, FALSE))</f>
        <v>Hardware</v>
      </c>
      <c r="I85" s="9">
        <f>IFERROR(INDEX(Product_Reference!$D$2:$D$7, MATCH(D85, Product_Reference!$A$2:$A$7, 0)),"N/A")</f>
        <v>250</v>
      </c>
      <c r="J85" s="9">
        <f t="shared" si="3"/>
        <v>22.319999999999993</v>
      </c>
    </row>
    <row r="86" spans="1:10" ht="15.75" customHeight="1" x14ac:dyDescent="0.3">
      <c r="A86" s="7" t="s">
        <v>101</v>
      </c>
      <c r="B86" s="24">
        <v>45855</v>
      </c>
      <c r="C86" s="7" t="s">
        <v>14</v>
      </c>
      <c r="D86" s="7" t="s">
        <v>22</v>
      </c>
      <c r="E86" s="7">
        <v>3319.89</v>
      </c>
      <c r="F86" s="14" t="str">
        <f t="shared" si="2"/>
        <v>Jul</v>
      </c>
      <c r="G86" s="9" t="str">
        <f>IFERROR( _xlfn.XLOOKUP(D86, Product_Reference!$A$2:$A$7, Product_Reference!$B$2:$B$7, "Unknown Product"),"Check Reference")</f>
        <v>Office Suite</v>
      </c>
      <c r="H86" s="9" t="str">
        <f>IF(ISNA(VLOOKUP(D86, Product_Reference!$A$2:$D$7, 3, FALSE)),"Type Not Found",VLOOKUP(D86, Product_Reference!$A$2:$D$7, 3, FALSE))</f>
        <v>Software</v>
      </c>
      <c r="I86" s="9">
        <f>IFERROR(INDEX(Product_Reference!$D$2:$D$7, MATCH(D86, Product_Reference!$A$2:$A$7, 0)),"N/A")</f>
        <v>350</v>
      </c>
      <c r="J86" s="9">
        <f t="shared" si="3"/>
        <v>2969.89</v>
      </c>
    </row>
    <row r="87" spans="1:10" ht="15.75" customHeight="1" x14ac:dyDescent="0.3">
      <c r="A87" s="7" t="s">
        <v>102</v>
      </c>
      <c r="B87" s="24">
        <v>45855</v>
      </c>
      <c r="C87" s="7" t="s">
        <v>16</v>
      </c>
      <c r="D87" s="7" t="s">
        <v>7</v>
      </c>
      <c r="E87" s="7">
        <v>1556.64</v>
      </c>
      <c r="F87" s="14" t="str">
        <f t="shared" si="2"/>
        <v>Jul</v>
      </c>
      <c r="G87" s="9" t="str">
        <f>IFERROR( _xlfn.XLOOKUP(D87, Product_Reference!$A$2:$A$7, Product_Reference!$B$2:$B$7, "Unknown Product"),"Check Reference")</f>
        <v>Cloud Storage</v>
      </c>
      <c r="H87" s="9" t="str">
        <f>IF(ISNA(VLOOKUP(D87, Product_Reference!$A$2:$D$7, 3, FALSE)),"Type Not Found",VLOOKUP(D87, Product_Reference!$A$2:$D$7, 3, FALSE))</f>
        <v>Software</v>
      </c>
      <c r="I87" s="9">
        <f>IFERROR(INDEX(Product_Reference!$D$2:$D$7, MATCH(D87, Product_Reference!$A$2:$A$7, 0)),"N/A")</f>
        <v>50</v>
      </c>
      <c r="J87" s="9">
        <f t="shared" si="3"/>
        <v>1506.64</v>
      </c>
    </row>
    <row r="88" spans="1:10" ht="15.75" customHeight="1" x14ac:dyDescent="0.3">
      <c r="A88" s="7" t="s">
        <v>103</v>
      </c>
      <c r="B88" s="24">
        <v>45778</v>
      </c>
      <c r="C88" s="7" t="s">
        <v>21</v>
      </c>
      <c r="D88" s="7" t="s">
        <v>17</v>
      </c>
      <c r="E88" s="7">
        <v>3018.49</v>
      </c>
      <c r="F88" s="14" t="str">
        <f t="shared" si="2"/>
        <v>May</v>
      </c>
      <c r="G88" s="9" t="str">
        <f>IFERROR( _xlfn.XLOOKUP(D88, Product_Reference!$A$2:$A$7, Product_Reference!$B$2:$B$7, "Unknown Product"),"Check Reference")</f>
        <v>Laptop</v>
      </c>
      <c r="H88" s="9" t="str">
        <f>IF(ISNA(VLOOKUP(D88, Product_Reference!$A$2:$D$7, 3, FALSE)),"Type Not Found",VLOOKUP(D88, Product_Reference!$A$2:$D$7, 3, FALSE))</f>
        <v>Hardware</v>
      </c>
      <c r="I88" s="9">
        <f>IFERROR(INDEX(Product_Reference!$D$2:$D$7, MATCH(D88, Product_Reference!$A$2:$A$7, 0)),"N/A")</f>
        <v>1200</v>
      </c>
      <c r="J88" s="9">
        <f t="shared" si="3"/>
        <v>1818.4899999999998</v>
      </c>
    </row>
    <row r="89" spans="1:10" ht="15.75" customHeight="1" x14ac:dyDescent="0.3">
      <c r="A89" s="7" t="s">
        <v>104</v>
      </c>
      <c r="B89" s="24">
        <v>45920</v>
      </c>
      <c r="C89" s="7" t="s">
        <v>16</v>
      </c>
      <c r="D89" s="7" t="s">
        <v>7</v>
      </c>
      <c r="E89" s="7">
        <v>3078.27</v>
      </c>
      <c r="F89" s="14" t="str">
        <f t="shared" si="2"/>
        <v>Sep</v>
      </c>
      <c r="G89" s="9" t="str">
        <f>IFERROR( _xlfn.XLOOKUP(D89, Product_Reference!$A$2:$A$7, Product_Reference!$B$2:$B$7, "Unknown Product"),"Check Reference")</f>
        <v>Cloud Storage</v>
      </c>
      <c r="H89" s="9" t="str">
        <f>IF(ISNA(VLOOKUP(D89, Product_Reference!$A$2:$D$7, 3, FALSE)),"Type Not Found",VLOOKUP(D89, Product_Reference!$A$2:$D$7, 3, FALSE))</f>
        <v>Software</v>
      </c>
      <c r="I89" s="9">
        <f>IFERROR(INDEX(Product_Reference!$D$2:$D$7, MATCH(D89, Product_Reference!$A$2:$A$7, 0)),"N/A")</f>
        <v>50</v>
      </c>
      <c r="J89" s="9">
        <f t="shared" si="3"/>
        <v>3028.27</v>
      </c>
    </row>
    <row r="90" spans="1:10" ht="15.75" customHeight="1" x14ac:dyDescent="0.3">
      <c r="A90" s="7" t="s">
        <v>105</v>
      </c>
      <c r="B90" s="24">
        <v>45761</v>
      </c>
      <c r="C90" s="7" t="s">
        <v>9</v>
      </c>
      <c r="D90" s="7" t="s">
        <v>7</v>
      </c>
      <c r="E90" s="7">
        <v>2437.89</v>
      </c>
      <c r="F90" s="14" t="str">
        <f t="shared" si="2"/>
        <v>Apr</v>
      </c>
      <c r="G90" s="9" t="str">
        <f>IFERROR( _xlfn.XLOOKUP(D90, Product_Reference!$A$2:$A$7, Product_Reference!$B$2:$B$7, "Unknown Product"),"Check Reference")</f>
        <v>Cloud Storage</v>
      </c>
      <c r="H90" s="9" t="str">
        <f>IF(ISNA(VLOOKUP(D90, Product_Reference!$A$2:$D$7, 3, FALSE)),"Type Not Found",VLOOKUP(D90, Product_Reference!$A$2:$D$7, 3, FALSE))</f>
        <v>Software</v>
      </c>
      <c r="I90" s="9">
        <f>IFERROR(INDEX(Product_Reference!$D$2:$D$7, MATCH(D90, Product_Reference!$A$2:$A$7, 0)),"N/A")</f>
        <v>50</v>
      </c>
      <c r="J90" s="9">
        <f t="shared" si="3"/>
        <v>2387.89</v>
      </c>
    </row>
    <row r="91" spans="1:10" ht="15.75" customHeight="1" x14ac:dyDescent="0.3">
      <c r="A91" s="7" t="s">
        <v>106</v>
      </c>
      <c r="B91" s="24">
        <v>45887</v>
      </c>
      <c r="C91" s="7" t="s">
        <v>9</v>
      </c>
      <c r="D91" s="7" t="s">
        <v>22</v>
      </c>
      <c r="E91" s="7">
        <v>3351.05</v>
      </c>
      <c r="F91" s="14" t="str">
        <f t="shared" si="2"/>
        <v>Aug</v>
      </c>
      <c r="G91" s="9" t="str">
        <f>IFERROR( _xlfn.XLOOKUP(D91, Product_Reference!$A$2:$A$7, Product_Reference!$B$2:$B$7, "Unknown Product"),"Check Reference")</f>
        <v>Office Suite</v>
      </c>
      <c r="H91" s="9" t="str">
        <f>IF(ISNA(VLOOKUP(D91, Product_Reference!$A$2:$D$7, 3, FALSE)),"Type Not Found",VLOOKUP(D91, Product_Reference!$A$2:$D$7, 3, FALSE))</f>
        <v>Software</v>
      </c>
      <c r="I91" s="9">
        <f>IFERROR(INDEX(Product_Reference!$D$2:$D$7, MATCH(D91, Product_Reference!$A$2:$A$7, 0)),"N/A")</f>
        <v>350</v>
      </c>
      <c r="J91" s="9">
        <f t="shared" si="3"/>
        <v>3001.05</v>
      </c>
    </row>
    <row r="92" spans="1:10" ht="15.75" customHeight="1" x14ac:dyDescent="0.3">
      <c r="A92" s="7" t="s">
        <v>107</v>
      </c>
      <c r="B92" s="24">
        <v>45729</v>
      </c>
      <c r="C92" s="7" t="s">
        <v>14</v>
      </c>
      <c r="D92" s="7" t="s">
        <v>22</v>
      </c>
      <c r="E92" s="7">
        <v>3008.86</v>
      </c>
      <c r="F92" s="14" t="str">
        <f t="shared" si="2"/>
        <v>Mar</v>
      </c>
      <c r="G92" s="9" t="str">
        <f>IFERROR( _xlfn.XLOOKUP(D92, Product_Reference!$A$2:$A$7, Product_Reference!$B$2:$B$7, "Unknown Product"),"Check Reference")</f>
        <v>Office Suite</v>
      </c>
      <c r="H92" s="9" t="str">
        <f>IF(ISNA(VLOOKUP(D92, Product_Reference!$A$2:$D$7, 3, FALSE)),"Type Not Found",VLOOKUP(D92, Product_Reference!$A$2:$D$7, 3, FALSE))</f>
        <v>Software</v>
      </c>
      <c r="I92" s="9">
        <f>IFERROR(INDEX(Product_Reference!$D$2:$D$7, MATCH(D92, Product_Reference!$A$2:$A$7, 0)),"N/A")</f>
        <v>350</v>
      </c>
      <c r="J92" s="9">
        <f t="shared" si="3"/>
        <v>2658.86</v>
      </c>
    </row>
    <row r="93" spans="1:10" ht="15.75" customHeight="1" x14ac:dyDescent="0.3">
      <c r="A93" s="7" t="s">
        <v>108</v>
      </c>
      <c r="B93" s="24">
        <v>46015</v>
      </c>
      <c r="C93" s="7" t="s">
        <v>6</v>
      </c>
      <c r="D93" s="7" t="s">
        <v>10</v>
      </c>
      <c r="E93" s="7">
        <v>4154.78</v>
      </c>
      <c r="F93" s="14" t="str">
        <f t="shared" si="2"/>
        <v>Dec</v>
      </c>
      <c r="G93" s="9" t="str">
        <f>IFERROR( _xlfn.XLOOKUP(D93, Product_Reference!$A$2:$A$7, Product_Reference!$B$2:$B$7, "Unknown Product"),"Check Reference")</f>
        <v>Desktop</v>
      </c>
      <c r="H93" s="9" t="str">
        <f>IF(ISNA(VLOOKUP(D93, Product_Reference!$A$2:$D$7, 3, FALSE)),"Type Not Found",VLOOKUP(D93, Product_Reference!$A$2:$D$7, 3, FALSE))</f>
        <v>Hardware</v>
      </c>
      <c r="I93" s="9">
        <f>IFERROR(INDEX(Product_Reference!$D$2:$D$7, MATCH(D93, Product_Reference!$A$2:$A$7, 0)),"N/A")</f>
        <v>800</v>
      </c>
      <c r="J93" s="9">
        <f t="shared" si="3"/>
        <v>3354.7799999999997</v>
      </c>
    </row>
    <row r="94" spans="1:10" ht="15.75" customHeight="1" x14ac:dyDescent="0.3">
      <c r="A94" s="7" t="s">
        <v>109</v>
      </c>
      <c r="B94" s="24">
        <v>45902</v>
      </c>
      <c r="C94" s="7" t="s">
        <v>14</v>
      </c>
      <c r="D94" s="7" t="s">
        <v>19</v>
      </c>
      <c r="E94" s="7">
        <v>1735.68</v>
      </c>
      <c r="F94" s="14" t="str">
        <f t="shared" si="2"/>
        <v>Sep</v>
      </c>
      <c r="G94" s="9" t="str">
        <f>IFERROR( _xlfn.XLOOKUP(D94, Product_Reference!$A$2:$A$7, Product_Reference!$B$2:$B$7, "Unknown Product"),"Check Reference")</f>
        <v>Keyboard</v>
      </c>
      <c r="H94" s="9" t="str">
        <f>IF(ISNA(VLOOKUP(D94, Product_Reference!$A$2:$D$7, 3, FALSE)),"Type Not Found",VLOOKUP(D94, Product_Reference!$A$2:$D$7, 3, FALSE))</f>
        <v>Accessories</v>
      </c>
      <c r="I94" s="9">
        <f>IFERROR(INDEX(Product_Reference!$D$2:$D$7, MATCH(D94, Product_Reference!$A$2:$A$7, 0)),"N/A")</f>
        <v>45</v>
      </c>
      <c r="J94" s="9">
        <f t="shared" si="3"/>
        <v>1690.68</v>
      </c>
    </row>
    <row r="95" spans="1:10" ht="15.75" customHeight="1" x14ac:dyDescent="0.3">
      <c r="A95" s="7" t="s">
        <v>110</v>
      </c>
      <c r="B95" s="24">
        <v>45821</v>
      </c>
      <c r="C95" s="7" t="s">
        <v>6</v>
      </c>
      <c r="D95" s="7" t="s">
        <v>22</v>
      </c>
      <c r="E95" s="7">
        <v>1487.18</v>
      </c>
      <c r="F95" s="14" t="str">
        <f t="shared" si="2"/>
        <v>Jun</v>
      </c>
      <c r="G95" s="9" t="str">
        <f>IFERROR( _xlfn.XLOOKUP(D95, Product_Reference!$A$2:$A$7, Product_Reference!$B$2:$B$7, "Unknown Product"),"Check Reference")</f>
        <v>Office Suite</v>
      </c>
      <c r="H95" s="9" t="str">
        <f>IF(ISNA(VLOOKUP(D95, Product_Reference!$A$2:$D$7, 3, FALSE)),"Type Not Found",VLOOKUP(D95, Product_Reference!$A$2:$D$7, 3, FALSE))</f>
        <v>Software</v>
      </c>
      <c r="I95" s="9">
        <f>IFERROR(INDEX(Product_Reference!$D$2:$D$7, MATCH(D95, Product_Reference!$A$2:$A$7, 0)),"N/A")</f>
        <v>350</v>
      </c>
      <c r="J95" s="9">
        <f t="shared" si="3"/>
        <v>1137.18</v>
      </c>
    </row>
    <row r="96" spans="1:10" ht="15.75" customHeight="1" x14ac:dyDescent="0.3">
      <c r="A96" s="7" t="s">
        <v>111</v>
      </c>
      <c r="B96" s="24">
        <v>45865</v>
      </c>
      <c r="C96" s="7" t="s">
        <v>14</v>
      </c>
      <c r="D96" s="7" t="s">
        <v>22</v>
      </c>
      <c r="E96" s="7">
        <v>1509.72</v>
      </c>
      <c r="F96" s="14" t="str">
        <f t="shared" si="2"/>
        <v>Jul</v>
      </c>
      <c r="G96" s="9" t="str">
        <f>IFERROR( _xlfn.XLOOKUP(D96, Product_Reference!$A$2:$A$7, Product_Reference!$B$2:$B$7, "Unknown Product"),"Check Reference")</f>
        <v>Office Suite</v>
      </c>
      <c r="H96" s="9" t="str">
        <f>IF(ISNA(VLOOKUP(D96, Product_Reference!$A$2:$D$7, 3, FALSE)),"Type Not Found",VLOOKUP(D96, Product_Reference!$A$2:$D$7, 3, FALSE))</f>
        <v>Software</v>
      </c>
      <c r="I96" s="9">
        <f>IFERROR(INDEX(Product_Reference!$D$2:$D$7, MATCH(D96, Product_Reference!$A$2:$A$7, 0)),"N/A")</f>
        <v>350</v>
      </c>
      <c r="J96" s="9">
        <f t="shared" si="3"/>
        <v>1159.72</v>
      </c>
    </row>
    <row r="97" spans="1:10" ht="15.75" customHeight="1" x14ac:dyDescent="0.3">
      <c r="A97" s="7" t="s">
        <v>112</v>
      </c>
      <c r="B97" s="24">
        <v>45884</v>
      </c>
      <c r="C97" s="7" t="s">
        <v>9</v>
      </c>
      <c r="D97" s="7" t="s">
        <v>12</v>
      </c>
      <c r="E97" s="7">
        <v>2315.5700000000002</v>
      </c>
      <c r="F97" s="14" t="str">
        <f t="shared" si="2"/>
        <v>Aug</v>
      </c>
      <c r="G97" s="9" t="str">
        <f>IFERROR( _xlfn.XLOOKUP(D97, Product_Reference!$A$2:$A$7, Product_Reference!$B$2:$B$7, "Unknown Product"),"Check Reference")</f>
        <v>Unknown Product</v>
      </c>
      <c r="H97" s="9" t="str">
        <f>IF(ISNA(VLOOKUP(D97, Product_Reference!$A$2:$D$7, 3, FALSE)),"Type Not Found",VLOOKUP(D97, Product_Reference!$A$2:$D$7, 3, FALSE))</f>
        <v>Type Not Found</v>
      </c>
      <c r="I97" s="9" t="str">
        <f>IFERROR(INDEX(Product_Reference!$D$2:$D$7, MATCH(D97, Product_Reference!$A$2:$A$7, 0)),"N/A")</f>
        <v>N/A</v>
      </c>
      <c r="J97" s="9" t="str">
        <f t="shared" si="3"/>
        <v>Cannot Calculate</v>
      </c>
    </row>
    <row r="98" spans="1:10" ht="15.75" customHeight="1" x14ac:dyDescent="0.3">
      <c r="A98" s="7" t="s">
        <v>113</v>
      </c>
      <c r="B98" s="24">
        <v>45996</v>
      </c>
      <c r="C98" s="7" t="s">
        <v>21</v>
      </c>
      <c r="D98" s="7" t="s">
        <v>7</v>
      </c>
      <c r="E98" s="7">
        <v>4536.6099999999997</v>
      </c>
      <c r="F98" s="14" t="str">
        <f t="shared" si="2"/>
        <v>Dec</v>
      </c>
      <c r="G98" s="9" t="str">
        <f>IFERROR( _xlfn.XLOOKUP(D98, Product_Reference!$A$2:$A$7, Product_Reference!$B$2:$B$7, "Unknown Product"),"Check Reference")</f>
        <v>Cloud Storage</v>
      </c>
      <c r="H98" s="9" t="str">
        <f>IF(ISNA(VLOOKUP(D98, Product_Reference!$A$2:$D$7, 3, FALSE)),"Type Not Found",VLOOKUP(D98, Product_Reference!$A$2:$D$7, 3, FALSE))</f>
        <v>Software</v>
      </c>
      <c r="I98" s="9">
        <f>IFERROR(INDEX(Product_Reference!$D$2:$D$7, MATCH(D98, Product_Reference!$A$2:$A$7, 0)),"N/A")</f>
        <v>50</v>
      </c>
      <c r="J98" s="9">
        <f t="shared" si="3"/>
        <v>4486.6099999999997</v>
      </c>
    </row>
    <row r="99" spans="1:10" ht="15.75" customHeight="1" x14ac:dyDescent="0.3">
      <c r="A99" s="7" t="s">
        <v>114</v>
      </c>
      <c r="B99" s="24">
        <v>45704</v>
      </c>
      <c r="C99" s="7" t="s">
        <v>16</v>
      </c>
      <c r="D99" s="7" t="s">
        <v>12</v>
      </c>
      <c r="E99" s="7">
        <v>1117.74</v>
      </c>
      <c r="F99" s="14" t="str">
        <f t="shared" si="2"/>
        <v>Feb</v>
      </c>
      <c r="G99" s="9" t="str">
        <f>IFERROR( _xlfn.XLOOKUP(D99, Product_Reference!$A$2:$A$7, Product_Reference!$B$2:$B$7, "Unknown Product"),"Check Reference")</f>
        <v>Unknown Product</v>
      </c>
      <c r="H99" s="9" t="str">
        <f>IF(ISNA(VLOOKUP(D99, Product_Reference!$A$2:$D$7, 3, FALSE)),"Type Not Found",VLOOKUP(D99, Product_Reference!$A$2:$D$7, 3, FALSE))</f>
        <v>Type Not Found</v>
      </c>
      <c r="I99" s="9" t="str">
        <f>IFERROR(INDEX(Product_Reference!$D$2:$D$7, MATCH(D99, Product_Reference!$A$2:$A$7, 0)),"N/A")</f>
        <v>N/A</v>
      </c>
      <c r="J99" s="9" t="str">
        <f t="shared" si="3"/>
        <v>Cannot Calculate</v>
      </c>
    </row>
    <row r="100" spans="1:10" ht="15.75" customHeight="1" x14ac:dyDescent="0.3">
      <c r="A100" s="7" t="s">
        <v>115</v>
      </c>
      <c r="B100" s="24">
        <v>45789</v>
      </c>
      <c r="C100" s="7" t="s">
        <v>16</v>
      </c>
      <c r="D100" s="7" t="s">
        <v>12</v>
      </c>
      <c r="E100" s="7">
        <v>4854.3599999999997</v>
      </c>
      <c r="F100" s="14" t="str">
        <f t="shared" si="2"/>
        <v>May</v>
      </c>
      <c r="G100" s="9" t="str">
        <f>IFERROR( _xlfn.XLOOKUP(D100, Product_Reference!$A$2:$A$7, Product_Reference!$B$2:$B$7, "Unknown Product"),"Check Reference")</f>
        <v>Unknown Product</v>
      </c>
      <c r="H100" s="9" t="str">
        <f>IF(ISNA(VLOOKUP(D100, Product_Reference!$A$2:$D$7, 3, FALSE)),"Type Not Found",VLOOKUP(D100, Product_Reference!$A$2:$D$7, 3, FALSE))</f>
        <v>Type Not Found</v>
      </c>
      <c r="I100" s="9" t="str">
        <f>IFERROR(INDEX(Product_Reference!$D$2:$D$7, MATCH(D100, Product_Reference!$A$2:$A$7, 0)),"N/A")</f>
        <v>N/A</v>
      </c>
      <c r="J100" s="9" t="str">
        <f t="shared" si="3"/>
        <v>Cannot Calculate</v>
      </c>
    </row>
    <row r="101" spans="1:10" ht="15.75" customHeight="1" x14ac:dyDescent="0.3">
      <c r="A101" s="7" t="s">
        <v>116</v>
      </c>
      <c r="B101" s="24">
        <v>45704</v>
      </c>
      <c r="C101" s="7" t="s">
        <v>16</v>
      </c>
      <c r="D101" s="7" t="s">
        <v>25</v>
      </c>
      <c r="E101" s="7">
        <v>806.36</v>
      </c>
      <c r="F101" s="14" t="str">
        <f t="shared" si="2"/>
        <v>Feb</v>
      </c>
      <c r="G101" s="9" t="str">
        <f>IFERROR( _xlfn.XLOOKUP(D101, Product_Reference!$A$2:$A$7, Product_Reference!$B$2:$B$7, "Unknown Product"),"Check Reference")</f>
        <v>Monitor</v>
      </c>
      <c r="H101" s="9" t="str">
        <f>IF(ISNA(VLOOKUP(D101, Product_Reference!$A$2:$D$7, 3, FALSE)),"Type Not Found",VLOOKUP(D101, Product_Reference!$A$2:$D$7, 3, FALSE))</f>
        <v>Hardware</v>
      </c>
      <c r="I101" s="9">
        <f>IFERROR(INDEX(Product_Reference!$D$2:$D$7, MATCH(D101, Product_Reference!$A$2:$A$7, 0)),"N/A")</f>
        <v>250</v>
      </c>
      <c r="J101" s="9">
        <f t="shared" si="3"/>
        <v>556.36</v>
      </c>
    </row>
    <row r="102" spans="1:10" ht="15.75" customHeight="1" x14ac:dyDescent="0.3">
      <c r="A102" s="7" t="s">
        <v>117</v>
      </c>
      <c r="B102" s="24">
        <v>45943</v>
      </c>
      <c r="C102" s="7" t="s">
        <v>16</v>
      </c>
      <c r="D102" s="7" t="s">
        <v>22</v>
      </c>
      <c r="E102" s="7">
        <v>2581.23</v>
      </c>
      <c r="F102" s="14" t="str">
        <f t="shared" si="2"/>
        <v>Oct</v>
      </c>
      <c r="G102" s="9" t="str">
        <f>IFERROR( _xlfn.XLOOKUP(D102, Product_Reference!$A$2:$A$7, Product_Reference!$B$2:$B$7, "Unknown Product"),"Check Reference")</f>
        <v>Office Suite</v>
      </c>
      <c r="H102" s="9" t="str">
        <f>IF(ISNA(VLOOKUP(D102, Product_Reference!$A$2:$D$7, 3, FALSE)),"Type Not Found",VLOOKUP(D102, Product_Reference!$A$2:$D$7, 3, FALSE))</f>
        <v>Software</v>
      </c>
      <c r="I102" s="9">
        <f>IFERROR(INDEX(Product_Reference!$D$2:$D$7, MATCH(D102, Product_Reference!$A$2:$A$7, 0)),"N/A")</f>
        <v>350</v>
      </c>
      <c r="J102" s="9">
        <f t="shared" si="3"/>
        <v>2231.23</v>
      </c>
    </row>
    <row r="103" spans="1:10" ht="15.75" customHeight="1" x14ac:dyDescent="0.3">
      <c r="A103" s="7" t="s">
        <v>118</v>
      </c>
      <c r="B103" s="24">
        <v>45807</v>
      </c>
      <c r="C103" s="7" t="s">
        <v>16</v>
      </c>
      <c r="D103" s="7" t="s">
        <v>12</v>
      </c>
      <c r="E103" s="7">
        <v>2845.76</v>
      </c>
      <c r="F103" s="14" t="str">
        <f t="shared" si="2"/>
        <v>May</v>
      </c>
      <c r="G103" s="9" t="str">
        <f>IFERROR( _xlfn.XLOOKUP(D103, Product_Reference!$A$2:$A$7, Product_Reference!$B$2:$B$7, "Unknown Product"),"Check Reference")</f>
        <v>Unknown Product</v>
      </c>
      <c r="H103" s="9" t="str">
        <f>IF(ISNA(VLOOKUP(D103, Product_Reference!$A$2:$D$7, 3, FALSE)),"Type Not Found",VLOOKUP(D103, Product_Reference!$A$2:$D$7, 3, FALSE))</f>
        <v>Type Not Found</v>
      </c>
      <c r="I103" s="9" t="str">
        <f>IFERROR(INDEX(Product_Reference!$D$2:$D$7, MATCH(D103, Product_Reference!$A$2:$A$7, 0)),"N/A")</f>
        <v>N/A</v>
      </c>
      <c r="J103" s="9" t="str">
        <f t="shared" si="3"/>
        <v>Cannot Calculate</v>
      </c>
    </row>
    <row r="104" spans="1:10" ht="15.75" customHeight="1" x14ac:dyDescent="0.3">
      <c r="A104" s="7" t="s">
        <v>119</v>
      </c>
      <c r="B104" s="24">
        <v>45679</v>
      </c>
      <c r="C104" s="7" t="s">
        <v>16</v>
      </c>
      <c r="D104" s="7" t="s">
        <v>7</v>
      </c>
      <c r="E104" s="7">
        <v>621.46</v>
      </c>
      <c r="F104" s="14" t="str">
        <f t="shared" si="2"/>
        <v>Jan</v>
      </c>
      <c r="G104" s="9" t="str">
        <f>IFERROR( _xlfn.XLOOKUP(D104, Product_Reference!$A$2:$A$7, Product_Reference!$B$2:$B$7, "Unknown Product"),"Check Reference")</f>
        <v>Cloud Storage</v>
      </c>
      <c r="H104" s="9" t="str">
        <f>IF(ISNA(VLOOKUP(D104, Product_Reference!$A$2:$D$7, 3, FALSE)),"Type Not Found",VLOOKUP(D104, Product_Reference!$A$2:$D$7, 3, FALSE))</f>
        <v>Software</v>
      </c>
      <c r="I104" s="9">
        <f>IFERROR(INDEX(Product_Reference!$D$2:$D$7, MATCH(D104, Product_Reference!$A$2:$A$7, 0)),"N/A")</f>
        <v>50</v>
      </c>
      <c r="J104" s="9">
        <f t="shared" si="3"/>
        <v>571.46</v>
      </c>
    </row>
    <row r="105" spans="1:10" ht="15.75" customHeight="1" x14ac:dyDescent="0.3">
      <c r="A105" s="7" t="s">
        <v>120</v>
      </c>
      <c r="B105" s="24">
        <v>45681</v>
      </c>
      <c r="C105" s="7" t="s">
        <v>9</v>
      </c>
      <c r="D105" s="7" t="s">
        <v>12</v>
      </c>
      <c r="E105" s="7">
        <v>785.86</v>
      </c>
      <c r="F105" s="14" t="str">
        <f t="shared" si="2"/>
        <v>Jan</v>
      </c>
      <c r="G105" s="9" t="str">
        <f>IFERROR( _xlfn.XLOOKUP(D105, Product_Reference!$A$2:$A$7, Product_Reference!$B$2:$B$7, "Unknown Product"),"Check Reference")</f>
        <v>Unknown Product</v>
      </c>
      <c r="H105" s="9" t="str">
        <f>IF(ISNA(VLOOKUP(D105, Product_Reference!$A$2:$D$7, 3, FALSE)),"Type Not Found",VLOOKUP(D105, Product_Reference!$A$2:$D$7, 3, FALSE))</f>
        <v>Type Not Found</v>
      </c>
      <c r="I105" s="9" t="str">
        <f>IFERROR(INDEX(Product_Reference!$D$2:$D$7, MATCH(D105, Product_Reference!$A$2:$A$7, 0)),"N/A")</f>
        <v>N/A</v>
      </c>
      <c r="J105" s="9" t="str">
        <f t="shared" si="3"/>
        <v>Cannot Calculate</v>
      </c>
    </row>
    <row r="106" spans="1:10" ht="15.75" customHeight="1" x14ac:dyDescent="0.3">
      <c r="A106" s="7" t="s">
        <v>121</v>
      </c>
      <c r="B106" s="24">
        <v>45893</v>
      </c>
      <c r="C106" s="7" t="s">
        <v>16</v>
      </c>
      <c r="D106" s="7" t="s">
        <v>12</v>
      </c>
      <c r="E106" s="7">
        <v>3073.89</v>
      </c>
      <c r="F106" s="14" t="str">
        <f t="shared" si="2"/>
        <v>Aug</v>
      </c>
      <c r="G106" s="9" t="str">
        <f>IFERROR( _xlfn.XLOOKUP(D106, Product_Reference!$A$2:$A$7, Product_Reference!$B$2:$B$7, "Unknown Product"),"Check Reference")</f>
        <v>Unknown Product</v>
      </c>
      <c r="H106" s="9" t="str">
        <f>IF(ISNA(VLOOKUP(D106, Product_Reference!$A$2:$D$7, 3, FALSE)),"Type Not Found",VLOOKUP(D106, Product_Reference!$A$2:$D$7, 3, FALSE))</f>
        <v>Type Not Found</v>
      </c>
      <c r="I106" s="9" t="str">
        <f>IFERROR(INDEX(Product_Reference!$D$2:$D$7, MATCH(D106, Product_Reference!$A$2:$A$7, 0)),"N/A")</f>
        <v>N/A</v>
      </c>
      <c r="J106" s="9" t="str">
        <f t="shared" si="3"/>
        <v>Cannot Calculate</v>
      </c>
    </row>
    <row r="107" spans="1:10" ht="15.75" customHeight="1" x14ac:dyDescent="0.3">
      <c r="A107" s="7" t="s">
        <v>122</v>
      </c>
      <c r="B107" s="24">
        <v>45912</v>
      </c>
      <c r="C107" s="7" t="s">
        <v>14</v>
      </c>
      <c r="D107" s="7" t="s">
        <v>25</v>
      </c>
      <c r="E107" s="7">
        <v>3849.55</v>
      </c>
      <c r="F107" s="14" t="str">
        <f t="shared" si="2"/>
        <v>Sep</v>
      </c>
      <c r="G107" s="9" t="str">
        <f>IFERROR( _xlfn.XLOOKUP(D107, Product_Reference!$A$2:$A$7, Product_Reference!$B$2:$B$7, "Unknown Product"),"Check Reference")</f>
        <v>Monitor</v>
      </c>
      <c r="H107" s="9" t="str">
        <f>IF(ISNA(VLOOKUP(D107, Product_Reference!$A$2:$D$7, 3, FALSE)),"Type Not Found",VLOOKUP(D107, Product_Reference!$A$2:$D$7, 3, FALSE))</f>
        <v>Hardware</v>
      </c>
      <c r="I107" s="9">
        <f>IFERROR(INDEX(Product_Reference!$D$2:$D$7, MATCH(D107, Product_Reference!$A$2:$A$7, 0)),"N/A")</f>
        <v>250</v>
      </c>
      <c r="J107" s="9">
        <f t="shared" si="3"/>
        <v>3599.55</v>
      </c>
    </row>
    <row r="108" spans="1:10" ht="15.75" customHeight="1" x14ac:dyDescent="0.3">
      <c r="A108" s="7" t="s">
        <v>123</v>
      </c>
      <c r="B108" s="24">
        <v>45752</v>
      </c>
      <c r="C108" s="7" t="s">
        <v>9</v>
      </c>
      <c r="D108" s="7" t="s">
        <v>10</v>
      </c>
      <c r="E108" s="7">
        <v>1362.56</v>
      </c>
      <c r="F108" s="14" t="str">
        <f t="shared" si="2"/>
        <v>Apr</v>
      </c>
      <c r="G108" s="9" t="str">
        <f>IFERROR( _xlfn.XLOOKUP(D108, Product_Reference!$A$2:$A$7, Product_Reference!$B$2:$B$7, "Unknown Product"),"Check Reference")</f>
        <v>Desktop</v>
      </c>
      <c r="H108" s="9" t="str">
        <f>IF(ISNA(VLOOKUP(D108, Product_Reference!$A$2:$D$7, 3, FALSE)),"Type Not Found",VLOOKUP(D108, Product_Reference!$A$2:$D$7, 3, FALSE))</f>
        <v>Hardware</v>
      </c>
      <c r="I108" s="9">
        <f>IFERROR(INDEX(Product_Reference!$D$2:$D$7, MATCH(D108, Product_Reference!$A$2:$A$7, 0)),"N/A")</f>
        <v>800</v>
      </c>
      <c r="J108" s="9">
        <f t="shared" si="3"/>
        <v>562.55999999999995</v>
      </c>
    </row>
    <row r="109" spans="1:10" ht="15.75" customHeight="1" x14ac:dyDescent="0.3">
      <c r="A109" s="7" t="s">
        <v>124</v>
      </c>
      <c r="B109" s="24">
        <v>46014</v>
      </c>
      <c r="C109" s="7" t="s">
        <v>6</v>
      </c>
      <c r="D109" s="7" t="s">
        <v>22</v>
      </c>
      <c r="E109" s="7">
        <v>344.29</v>
      </c>
      <c r="F109" s="14" t="str">
        <f t="shared" si="2"/>
        <v>Dec</v>
      </c>
      <c r="G109" s="9" t="str">
        <f>IFERROR( _xlfn.XLOOKUP(D109, Product_Reference!$A$2:$A$7, Product_Reference!$B$2:$B$7, "Unknown Product"),"Check Reference")</f>
        <v>Office Suite</v>
      </c>
      <c r="H109" s="9" t="str">
        <f>IF(ISNA(VLOOKUP(D109, Product_Reference!$A$2:$D$7, 3, FALSE)),"Type Not Found",VLOOKUP(D109, Product_Reference!$A$2:$D$7, 3, FALSE))</f>
        <v>Software</v>
      </c>
      <c r="I109" s="9">
        <f>IFERROR(INDEX(Product_Reference!$D$2:$D$7, MATCH(D109, Product_Reference!$A$2:$A$7, 0)),"N/A")</f>
        <v>350</v>
      </c>
      <c r="J109" s="9">
        <f t="shared" si="3"/>
        <v>-5.7099999999999795</v>
      </c>
    </row>
    <row r="110" spans="1:10" ht="15.75" customHeight="1" x14ac:dyDescent="0.3">
      <c r="A110" s="7" t="s">
        <v>125</v>
      </c>
      <c r="B110" s="24">
        <v>45857</v>
      </c>
      <c r="C110" s="7" t="s">
        <v>21</v>
      </c>
      <c r="D110" s="7" t="s">
        <v>19</v>
      </c>
      <c r="E110" s="7">
        <v>1144.8900000000001</v>
      </c>
      <c r="F110" s="14" t="str">
        <f t="shared" si="2"/>
        <v>Jul</v>
      </c>
      <c r="G110" s="9" t="str">
        <f>IFERROR( _xlfn.XLOOKUP(D110, Product_Reference!$A$2:$A$7, Product_Reference!$B$2:$B$7, "Unknown Product"),"Check Reference")</f>
        <v>Keyboard</v>
      </c>
      <c r="H110" s="9" t="str">
        <f>IF(ISNA(VLOOKUP(D110, Product_Reference!$A$2:$D$7, 3, FALSE)),"Type Not Found",VLOOKUP(D110, Product_Reference!$A$2:$D$7, 3, FALSE))</f>
        <v>Accessories</v>
      </c>
      <c r="I110" s="9">
        <f>IFERROR(INDEX(Product_Reference!$D$2:$D$7, MATCH(D110, Product_Reference!$A$2:$A$7, 0)),"N/A")</f>
        <v>45</v>
      </c>
      <c r="J110" s="9">
        <f t="shared" si="3"/>
        <v>1099.8900000000001</v>
      </c>
    </row>
    <row r="111" spans="1:10" ht="15.75" customHeight="1" x14ac:dyDescent="0.3">
      <c r="A111" s="7" t="s">
        <v>126</v>
      </c>
      <c r="B111" s="24">
        <v>45934</v>
      </c>
      <c r="C111" s="7" t="s">
        <v>16</v>
      </c>
      <c r="D111" s="7" t="s">
        <v>19</v>
      </c>
      <c r="E111" s="7">
        <v>1555.05</v>
      </c>
      <c r="F111" s="14" t="str">
        <f t="shared" si="2"/>
        <v>Oct</v>
      </c>
      <c r="G111" s="9" t="str">
        <f>IFERROR( _xlfn.XLOOKUP(D111, Product_Reference!$A$2:$A$7, Product_Reference!$B$2:$B$7, "Unknown Product"),"Check Reference")</f>
        <v>Keyboard</v>
      </c>
      <c r="H111" s="9" t="str">
        <f>IF(ISNA(VLOOKUP(D111, Product_Reference!$A$2:$D$7, 3, FALSE)),"Type Not Found",VLOOKUP(D111, Product_Reference!$A$2:$D$7, 3, FALSE))</f>
        <v>Accessories</v>
      </c>
      <c r="I111" s="9">
        <f>IFERROR(INDEX(Product_Reference!$D$2:$D$7, MATCH(D111, Product_Reference!$A$2:$A$7, 0)),"N/A")</f>
        <v>45</v>
      </c>
      <c r="J111" s="9">
        <f t="shared" si="3"/>
        <v>1510.05</v>
      </c>
    </row>
    <row r="112" spans="1:10" ht="15.75" customHeight="1" x14ac:dyDescent="0.3">
      <c r="A112" s="7" t="s">
        <v>127</v>
      </c>
      <c r="B112" s="24">
        <v>45685</v>
      </c>
      <c r="C112" s="7" t="s">
        <v>21</v>
      </c>
      <c r="D112" s="7" t="s">
        <v>22</v>
      </c>
      <c r="E112" s="7">
        <v>1442.69</v>
      </c>
      <c r="F112" s="14" t="str">
        <f t="shared" si="2"/>
        <v>Jan</v>
      </c>
      <c r="G112" s="9" t="str">
        <f>IFERROR( _xlfn.XLOOKUP(D112, Product_Reference!$A$2:$A$7, Product_Reference!$B$2:$B$7, "Unknown Product"),"Check Reference")</f>
        <v>Office Suite</v>
      </c>
      <c r="H112" s="9" t="str">
        <f>IF(ISNA(VLOOKUP(D112, Product_Reference!$A$2:$D$7, 3, FALSE)),"Type Not Found",VLOOKUP(D112, Product_Reference!$A$2:$D$7, 3, FALSE))</f>
        <v>Software</v>
      </c>
      <c r="I112" s="9">
        <f>IFERROR(INDEX(Product_Reference!$D$2:$D$7, MATCH(D112, Product_Reference!$A$2:$A$7, 0)),"N/A")</f>
        <v>350</v>
      </c>
      <c r="J112" s="9">
        <f t="shared" si="3"/>
        <v>1092.69</v>
      </c>
    </row>
    <row r="113" spans="1:10" ht="15.75" customHeight="1" x14ac:dyDescent="0.3">
      <c r="A113" s="7" t="s">
        <v>128</v>
      </c>
      <c r="B113" s="24">
        <v>45663</v>
      </c>
      <c r="C113" s="7" t="s">
        <v>9</v>
      </c>
      <c r="D113" s="7" t="s">
        <v>17</v>
      </c>
      <c r="E113" s="7">
        <v>655.41</v>
      </c>
      <c r="F113" s="14" t="str">
        <f t="shared" si="2"/>
        <v>Jan</v>
      </c>
      <c r="G113" s="9" t="str">
        <f>IFERROR( _xlfn.XLOOKUP(D113, Product_Reference!$A$2:$A$7, Product_Reference!$B$2:$B$7, "Unknown Product"),"Check Reference")</f>
        <v>Laptop</v>
      </c>
      <c r="H113" s="9" t="str">
        <f>IF(ISNA(VLOOKUP(D113, Product_Reference!$A$2:$D$7, 3, FALSE)),"Type Not Found",VLOOKUP(D113, Product_Reference!$A$2:$D$7, 3, FALSE))</f>
        <v>Hardware</v>
      </c>
      <c r="I113" s="9">
        <f>IFERROR(INDEX(Product_Reference!$D$2:$D$7, MATCH(D113, Product_Reference!$A$2:$A$7, 0)),"N/A")</f>
        <v>1200</v>
      </c>
      <c r="J113" s="9">
        <f t="shared" si="3"/>
        <v>-544.59</v>
      </c>
    </row>
    <row r="114" spans="1:10" ht="15.75" customHeight="1" x14ac:dyDescent="0.3">
      <c r="A114" s="7" t="s">
        <v>129</v>
      </c>
      <c r="B114" s="24">
        <v>45963</v>
      </c>
      <c r="C114" s="7" t="s">
        <v>6</v>
      </c>
      <c r="D114" s="7" t="s">
        <v>22</v>
      </c>
      <c r="E114" s="7">
        <v>4323.83</v>
      </c>
      <c r="F114" s="14" t="str">
        <f t="shared" si="2"/>
        <v>Nov</v>
      </c>
      <c r="G114" s="9" t="str">
        <f>IFERROR( _xlfn.XLOOKUP(D114, Product_Reference!$A$2:$A$7, Product_Reference!$B$2:$B$7, "Unknown Product"),"Check Reference")</f>
        <v>Office Suite</v>
      </c>
      <c r="H114" s="9" t="str">
        <f>IF(ISNA(VLOOKUP(D114, Product_Reference!$A$2:$D$7, 3, FALSE)),"Type Not Found",VLOOKUP(D114, Product_Reference!$A$2:$D$7, 3, FALSE))</f>
        <v>Software</v>
      </c>
      <c r="I114" s="9">
        <f>IFERROR(INDEX(Product_Reference!$D$2:$D$7, MATCH(D114, Product_Reference!$A$2:$A$7, 0)),"N/A")</f>
        <v>350</v>
      </c>
      <c r="J114" s="9">
        <f t="shared" si="3"/>
        <v>3973.83</v>
      </c>
    </row>
    <row r="115" spans="1:10" ht="15.75" customHeight="1" x14ac:dyDescent="0.3">
      <c r="A115" s="7" t="s">
        <v>130</v>
      </c>
      <c r="B115" s="24">
        <v>45875</v>
      </c>
      <c r="C115" s="7" t="s">
        <v>14</v>
      </c>
      <c r="D115" s="7" t="s">
        <v>10</v>
      </c>
      <c r="E115" s="7">
        <v>134.53</v>
      </c>
      <c r="F115" s="14" t="str">
        <f t="shared" si="2"/>
        <v>Aug</v>
      </c>
      <c r="G115" s="9" t="str">
        <f>IFERROR( _xlfn.XLOOKUP(D115, Product_Reference!$A$2:$A$7, Product_Reference!$B$2:$B$7, "Unknown Product"),"Check Reference")</f>
        <v>Desktop</v>
      </c>
      <c r="H115" s="9" t="str">
        <f>IF(ISNA(VLOOKUP(D115, Product_Reference!$A$2:$D$7, 3, FALSE)),"Type Not Found",VLOOKUP(D115, Product_Reference!$A$2:$D$7, 3, FALSE))</f>
        <v>Hardware</v>
      </c>
      <c r="I115" s="9">
        <f>IFERROR(INDEX(Product_Reference!$D$2:$D$7, MATCH(D115, Product_Reference!$A$2:$A$7, 0)),"N/A")</f>
        <v>800</v>
      </c>
      <c r="J115" s="9">
        <f t="shared" si="3"/>
        <v>-665.47</v>
      </c>
    </row>
    <row r="116" spans="1:10" ht="15.75" customHeight="1" x14ac:dyDescent="0.3">
      <c r="A116" s="7" t="s">
        <v>131</v>
      </c>
      <c r="B116" s="24">
        <v>45849</v>
      </c>
      <c r="C116" s="7" t="s">
        <v>21</v>
      </c>
      <c r="D116" s="7" t="s">
        <v>25</v>
      </c>
      <c r="E116" s="7">
        <v>3412.46</v>
      </c>
      <c r="F116" s="14" t="str">
        <f t="shared" si="2"/>
        <v>Jul</v>
      </c>
      <c r="G116" s="9" t="str">
        <f>IFERROR( _xlfn.XLOOKUP(D116, Product_Reference!$A$2:$A$7, Product_Reference!$B$2:$B$7, "Unknown Product"),"Check Reference")</f>
        <v>Monitor</v>
      </c>
      <c r="H116" s="9" t="str">
        <f>IF(ISNA(VLOOKUP(D116, Product_Reference!$A$2:$D$7, 3, FALSE)),"Type Not Found",VLOOKUP(D116, Product_Reference!$A$2:$D$7, 3, FALSE))</f>
        <v>Hardware</v>
      </c>
      <c r="I116" s="9">
        <f>IFERROR(INDEX(Product_Reference!$D$2:$D$7, MATCH(D116, Product_Reference!$A$2:$A$7, 0)),"N/A")</f>
        <v>250</v>
      </c>
      <c r="J116" s="9">
        <f t="shared" si="3"/>
        <v>3162.46</v>
      </c>
    </row>
    <row r="117" spans="1:10" ht="15.75" customHeight="1" x14ac:dyDescent="0.3">
      <c r="A117" s="7" t="s">
        <v>132</v>
      </c>
      <c r="B117" s="24">
        <v>45740</v>
      </c>
      <c r="C117" s="7" t="s">
        <v>9</v>
      </c>
      <c r="D117" s="7" t="s">
        <v>10</v>
      </c>
      <c r="E117" s="7">
        <v>3354.1</v>
      </c>
      <c r="F117" s="14" t="str">
        <f t="shared" si="2"/>
        <v>Mar</v>
      </c>
      <c r="G117" s="9" t="str">
        <f>IFERROR( _xlfn.XLOOKUP(D117, Product_Reference!$A$2:$A$7, Product_Reference!$B$2:$B$7, "Unknown Product"),"Check Reference")</f>
        <v>Desktop</v>
      </c>
      <c r="H117" s="9" t="str">
        <f>IF(ISNA(VLOOKUP(D117, Product_Reference!$A$2:$D$7, 3, FALSE)),"Type Not Found",VLOOKUP(D117, Product_Reference!$A$2:$D$7, 3, FALSE))</f>
        <v>Hardware</v>
      </c>
      <c r="I117" s="9">
        <f>IFERROR(INDEX(Product_Reference!$D$2:$D$7, MATCH(D117, Product_Reference!$A$2:$A$7, 0)),"N/A")</f>
        <v>800</v>
      </c>
      <c r="J117" s="9">
        <f t="shared" si="3"/>
        <v>2554.1</v>
      </c>
    </row>
    <row r="118" spans="1:10" ht="15.75" customHeight="1" x14ac:dyDescent="0.3">
      <c r="A118" s="7" t="s">
        <v>133</v>
      </c>
      <c r="B118" s="24">
        <v>45735</v>
      </c>
      <c r="C118" s="7" t="s">
        <v>16</v>
      </c>
      <c r="D118" s="7" t="s">
        <v>17</v>
      </c>
      <c r="E118" s="7">
        <v>1310.3900000000001</v>
      </c>
      <c r="F118" s="14" t="str">
        <f t="shared" si="2"/>
        <v>Mar</v>
      </c>
      <c r="G118" s="9" t="str">
        <f>IFERROR( _xlfn.XLOOKUP(D118, Product_Reference!$A$2:$A$7, Product_Reference!$B$2:$B$7, "Unknown Product"),"Check Reference")</f>
        <v>Laptop</v>
      </c>
      <c r="H118" s="9" t="str">
        <f>IF(ISNA(VLOOKUP(D118, Product_Reference!$A$2:$D$7, 3, FALSE)),"Type Not Found",VLOOKUP(D118, Product_Reference!$A$2:$D$7, 3, FALSE))</f>
        <v>Hardware</v>
      </c>
      <c r="I118" s="9">
        <f>IFERROR(INDEX(Product_Reference!$D$2:$D$7, MATCH(D118, Product_Reference!$A$2:$A$7, 0)),"N/A")</f>
        <v>1200</v>
      </c>
      <c r="J118" s="9">
        <f t="shared" si="3"/>
        <v>110.3900000000001</v>
      </c>
    </row>
    <row r="119" spans="1:10" ht="15.75" customHeight="1" x14ac:dyDescent="0.3">
      <c r="A119" s="7" t="s">
        <v>134</v>
      </c>
      <c r="B119" s="24">
        <v>46016</v>
      </c>
      <c r="C119" s="7" t="s">
        <v>9</v>
      </c>
      <c r="D119" s="7" t="s">
        <v>19</v>
      </c>
      <c r="E119" s="7">
        <v>586.86</v>
      </c>
      <c r="F119" s="14" t="str">
        <f t="shared" si="2"/>
        <v>Dec</v>
      </c>
      <c r="G119" s="9" t="str">
        <f>IFERROR( _xlfn.XLOOKUP(D119, Product_Reference!$A$2:$A$7, Product_Reference!$B$2:$B$7, "Unknown Product"),"Check Reference")</f>
        <v>Keyboard</v>
      </c>
      <c r="H119" s="9" t="str">
        <f>IF(ISNA(VLOOKUP(D119, Product_Reference!$A$2:$D$7, 3, FALSE)),"Type Not Found",VLOOKUP(D119, Product_Reference!$A$2:$D$7, 3, FALSE))</f>
        <v>Accessories</v>
      </c>
      <c r="I119" s="9">
        <f>IFERROR(INDEX(Product_Reference!$D$2:$D$7, MATCH(D119, Product_Reference!$A$2:$A$7, 0)),"N/A")</f>
        <v>45</v>
      </c>
      <c r="J119" s="9">
        <f t="shared" si="3"/>
        <v>541.86</v>
      </c>
    </row>
    <row r="120" spans="1:10" ht="15.75" customHeight="1" x14ac:dyDescent="0.3">
      <c r="A120" s="7" t="s">
        <v>135</v>
      </c>
      <c r="B120" s="24">
        <v>45789</v>
      </c>
      <c r="C120" s="7" t="s">
        <v>14</v>
      </c>
      <c r="D120" s="7" t="s">
        <v>12</v>
      </c>
      <c r="E120" s="7">
        <v>2072.5300000000002</v>
      </c>
      <c r="F120" s="14" t="str">
        <f t="shared" si="2"/>
        <v>May</v>
      </c>
      <c r="G120" s="9" t="str">
        <f>IFERROR( _xlfn.XLOOKUP(D120, Product_Reference!$A$2:$A$7, Product_Reference!$B$2:$B$7, "Unknown Product"),"Check Reference")</f>
        <v>Unknown Product</v>
      </c>
      <c r="H120" s="9" t="str">
        <f>IF(ISNA(VLOOKUP(D120, Product_Reference!$A$2:$D$7, 3, FALSE)),"Type Not Found",VLOOKUP(D120, Product_Reference!$A$2:$D$7, 3, FALSE))</f>
        <v>Type Not Found</v>
      </c>
      <c r="I120" s="9" t="str">
        <f>IFERROR(INDEX(Product_Reference!$D$2:$D$7, MATCH(D120, Product_Reference!$A$2:$A$7, 0)),"N/A")</f>
        <v>N/A</v>
      </c>
      <c r="J120" s="9" t="str">
        <f t="shared" si="3"/>
        <v>Cannot Calculate</v>
      </c>
    </row>
    <row r="121" spans="1:10" ht="15.75" customHeight="1" x14ac:dyDescent="0.3">
      <c r="A121" s="7" t="s">
        <v>136</v>
      </c>
      <c r="B121" s="24">
        <v>45842</v>
      </c>
      <c r="C121" s="7" t="s">
        <v>21</v>
      </c>
      <c r="D121" s="7" t="s">
        <v>17</v>
      </c>
      <c r="E121" s="7">
        <v>535.59</v>
      </c>
      <c r="F121" s="14" t="str">
        <f t="shared" si="2"/>
        <v>Jul</v>
      </c>
      <c r="G121" s="9" t="str">
        <f>IFERROR( _xlfn.XLOOKUP(D121, Product_Reference!$A$2:$A$7, Product_Reference!$B$2:$B$7, "Unknown Product"),"Check Reference")</f>
        <v>Laptop</v>
      </c>
      <c r="H121" s="9" t="str">
        <f>IF(ISNA(VLOOKUP(D121, Product_Reference!$A$2:$D$7, 3, FALSE)),"Type Not Found",VLOOKUP(D121, Product_Reference!$A$2:$D$7, 3, FALSE))</f>
        <v>Hardware</v>
      </c>
      <c r="I121" s="9">
        <f>IFERROR(INDEX(Product_Reference!$D$2:$D$7, MATCH(D121, Product_Reference!$A$2:$A$7, 0)),"N/A")</f>
        <v>1200</v>
      </c>
      <c r="J121" s="9">
        <f t="shared" si="3"/>
        <v>-664.41</v>
      </c>
    </row>
    <row r="122" spans="1:10" ht="15.75" customHeight="1" x14ac:dyDescent="0.3">
      <c r="A122" s="7" t="s">
        <v>137</v>
      </c>
      <c r="B122" s="24">
        <v>45800</v>
      </c>
      <c r="C122" s="7" t="s">
        <v>21</v>
      </c>
      <c r="D122" s="7" t="s">
        <v>12</v>
      </c>
      <c r="E122" s="7">
        <v>173.86</v>
      </c>
      <c r="F122" s="14" t="str">
        <f t="shared" si="2"/>
        <v>May</v>
      </c>
      <c r="G122" s="9" t="str">
        <f>IFERROR( _xlfn.XLOOKUP(D122, Product_Reference!$A$2:$A$7, Product_Reference!$B$2:$B$7, "Unknown Product"),"Check Reference")</f>
        <v>Unknown Product</v>
      </c>
      <c r="H122" s="9" t="str">
        <f>IF(ISNA(VLOOKUP(D122, Product_Reference!$A$2:$D$7, 3, FALSE)),"Type Not Found",VLOOKUP(D122, Product_Reference!$A$2:$D$7, 3, FALSE))</f>
        <v>Type Not Found</v>
      </c>
      <c r="I122" s="9" t="str">
        <f>IFERROR(INDEX(Product_Reference!$D$2:$D$7, MATCH(D122, Product_Reference!$A$2:$A$7, 0)),"N/A")</f>
        <v>N/A</v>
      </c>
      <c r="J122" s="9" t="str">
        <f t="shared" si="3"/>
        <v>Cannot Calculate</v>
      </c>
    </row>
    <row r="123" spans="1:10" ht="15.75" customHeight="1" x14ac:dyDescent="0.3">
      <c r="A123" s="7" t="s">
        <v>138</v>
      </c>
      <c r="B123" s="24">
        <v>45707</v>
      </c>
      <c r="C123" s="7" t="s">
        <v>9</v>
      </c>
      <c r="D123" s="7" t="s">
        <v>25</v>
      </c>
      <c r="E123" s="7">
        <v>4824.1400000000003</v>
      </c>
      <c r="F123" s="14" t="str">
        <f t="shared" si="2"/>
        <v>Feb</v>
      </c>
      <c r="G123" s="9" t="str">
        <f>IFERROR( _xlfn.XLOOKUP(D123, Product_Reference!$A$2:$A$7, Product_Reference!$B$2:$B$7, "Unknown Product"),"Check Reference")</f>
        <v>Monitor</v>
      </c>
      <c r="H123" s="9" t="str">
        <f>IF(ISNA(VLOOKUP(D123, Product_Reference!$A$2:$D$7, 3, FALSE)),"Type Not Found",VLOOKUP(D123, Product_Reference!$A$2:$D$7, 3, FALSE))</f>
        <v>Hardware</v>
      </c>
      <c r="I123" s="9">
        <f>IFERROR(INDEX(Product_Reference!$D$2:$D$7, MATCH(D123, Product_Reference!$A$2:$A$7, 0)),"N/A")</f>
        <v>250</v>
      </c>
      <c r="J123" s="9">
        <f t="shared" si="3"/>
        <v>4574.1400000000003</v>
      </c>
    </row>
    <row r="124" spans="1:10" ht="15.75" customHeight="1" x14ac:dyDescent="0.3">
      <c r="A124" s="7" t="s">
        <v>139</v>
      </c>
      <c r="B124" s="24">
        <v>46001</v>
      </c>
      <c r="C124" s="7" t="s">
        <v>6</v>
      </c>
      <c r="D124" s="7" t="s">
        <v>17</v>
      </c>
      <c r="E124" s="7">
        <v>186.93</v>
      </c>
      <c r="F124" s="14" t="str">
        <f t="shared" si="2"/>
        <v>Dec</v>
      </c>
      <c r="G124" s="9" t="str">
        <f>IFERROR( _xlfn.XLOOKUP(D124, Product_Reference!$A$2:$A$7, Product_Reference!$B$2:$B$7, "Unknown Product"),"Check Reference")</f>
        <v>Laptop</v>
      </c>
      <c r="H124" s="9" t="str">
        <f>IF(ISNA(VLOOKUP(D124, Product_Reference!$A$2:$D$7, 3, FALSE)),"Type Not Found",VLOOKUP(D124, Product_Reference!$A$2:$D$7, 3, FALSE))</f>
        <v>Hardware</v>
      </c>
      <c r="I124" s="9">
        <f>IFERROR(INDEX(Product_Reference!$D$2:$D$7, MATCH(D124, Product_Reference!$A$2:$A$7, 0)),"N/A")</f>
        <v>1200</v>
      </c>
      <c r="J124" s="9">
        <f t="shared" si="3"/>
        <v>-1013.0699999999999</v>
      </c>
    </row>
    <row r="125" spans="1:10" ht="15.75" customHeight="1" x14ac:dyDescent="0.3">
      <c r="A125" s="7" t="s">
        <v>140</v>
      </c>
      <c r="B125" s="24">
        <v>45710</v>
      </c>
      <c r="C125" s="7" t="s">
        <v>6</v>
      </c>
      <c r="D125" s="7" t="s">
        <v>25</v>
      </c>
      <c r="E125" s="7">
        <v>178.77</v>
      </c>
      <c r="F125" s="14" t="str">
        <f t="shared" si="2"/>
        <v>Feb</v>
      </c>
      <c r="G125" s="9" t="str">
        <f>IFERROR( _xlfn.XLOOKUP(D125, Product_Reference!$A$2:$A$7, Product_Reference!$B$2:$B$7, "Unknown Product"),"Check Reference")</f>
        <v>Monitor</v>
      </c>
      <c r="H125" s="9" t="str">
        <f>IF(ISNA(VLOOKUP(D125, Product_Reference!$A$2:$D$7, 3, FALSE)),"Type Not Found",VLOOKUP(D125, Product_Reference!$A$2:$D$7, 3, FALSE))</f>
        <v>Hardware</v>
      </c>
      <c r="I125" s="9">
        <f>IFERROR(INDEX(Product_Reference!$D$2:$D$7, MATCH(D125, Product_Reference!$A$2:$A$7, 0)),"N/A")</f>
        <v>250</v>
      </c>
      <c r="J125" s="9">
        <f t="shared" si="3"/>
        <v>-71.22999999999999</v>
      </c>
    </row>
    <row r="126" spans="1:10" ht="15.75" customHeight="1" x14ac:dyDescent="0.3">
      <c r="A126" s="7" t="s">
        <v>141</v>
      </c>
      <c r="B126" s="24">
        <v>45911</v>
      </c>
      <c r="C126" s="7" t="s">
        <v>21</v>
      </c>
      <c r="D126" s="7" t="s">
        <v>12</v>
      </c>
      <c r="E126" s="7">
        <v>558.84</v>
      </c>
      <c r="F126" s="14" t="str">
        <f t="shared" si="2"/>
        <v>Sep</v>
      </c>
      <c r="G126" s="9" t="str">
        <f>IFERROR( _xlfn.XLOOKUP(D126, Product_Reference!$A$2:$A$7, Product_Reference!$B$2:$B$7, "Unknown Product"),"Check Reference")</f>
        <v>Unknown Product</v>
      </c>
      <c r="H126" s="9" t="str">
        <f>IF(ISNA(VLOOKUP(D126, Product_Reference!$A$2:$D$7, 3, FALSE)),"Type Not Found",VLOOKUP(D126, Product_Reference!$A$2:$D$7, 3, FALSE))</f>
        <v>Type Not Found</v>
      </c>
      <c r="I126" s="9" t="str">
        <f>IFERROR(INDEX(Product_Reference!$D$2:$D$7, MATCH(D126, Product_Reference!$A$2:$A$7, 0)),"N/A")</f>
        <v>N/A</v>
      </c>
      <c r="J126" s="9" t="str">
        <f t="shared" si="3"/>
        <v>Cannot Calculate</v>
      </c>
    </row>
    <row r="127" spans="1:10" ht="15.75" customHeight="1" x14ac:dyDescent="0.3">
      <c r="A127" s="7" t="s">
        <v>142</v>
      </c>
      <c r="B127" s="24">
        <v>45938</v>
      </c>
      <c r="C127" s="7" t="s">
        <v>14</v>
      </c>
      <c r="D127" s="7" t="s">
        <v>19</v>
      </c>
      <c r="E127" s="7">
        <v>3545.79</v>
      </c>
      <c r="F127" s="14" t="str">
        <f t="shared" si="2"/>
        <v>Oct</v>
      </c>
      <c r="G127" s="9" t="str">
        <f>IFERROR( _xlfn.XLOOKUP(D127, Product_Reference!$A$2:$A$7, Product_Reference!$B$2:$B$7, "Unknown Product"),"Check Reference")</f>
        <v>Keyboard</v>
      </c>
      <c r="H127" s="9" t="str">
        <f>IF(ISNA(VLOOKUP(D127, Product_Reference!$A$2:$D$7, 3, FALSE)),"Type Not Found",VLOOKUP(D127, Product_Reference!$A$2:$D$7, 3, FALSE))</f>
        <v>Accessories</v>
      </c>
      <c r="I127" s="9">
        <f>IFERROR(INDEX(Product_Reference!$D$2:$D$7, MATCH(D127, Product_Reference!$A$2:$A$7, 0)),"N/A")</f>
        <v>45</v>
      </c>
      <c r="J127" s="9">
        <f t="shared" si="3"/>
        <v>3500.79</v>
      </c>
    </row>
    <row r="128" spans="1:10" ht="15.75" customHeight="1" x14ac:dyDescent="0.3">
      <c r="A128" s="7" t="s">
        <v>143</v>
      </c>
      <c r="B128" s="24">
        <v>45838</v>
      </c>
      <c r="C128" s="7" t="s">
        <v>6</v>
      </c>
      <c r="D128" s="7" t="s">
        <v>19</v>
      </c>
      <c r="E128" s="7">
        <v>4316.25</v>
      </c>
      <c r="F128" s="14" t="str">
        <f t="shared" si="2"/>
        <v>Jun</v>
      </c>
      <c r="G128" s="9" t="str">
        <f>IFERROR( _xlfn.XLOOKUP(D128, Product_Reference!$A$2:$A$7, Product_Reference!$B$2:$B$7, "Unknown Product"),"Check Reference")</f>
        <v>Keyboard</v>
      </c>
      <c r="H128" s="9" t="str">
        <f>IF(ISNA(VLOOKUP(D128, Product_Reference!$A$2:$D$7, 3, FALSE)),"Type Not Found",VLOOKUP(D128, Product_Reference!$A$2:$D$7, 3, FALSE))</f>
        <v>Accessories</v>
      </c>
      <c r="I128" s="9">
        <f>IFERROR(INDEX(Product_Reference!$D$2:$D$7, MATCH(D128, Product_Reference!$A$2:$A$7, 0)),"N/A")</f>
        <v>45</v>
      </c>
      <c r="J128" s="9">
        <f t="shared" si="3"/>
        <v>4271.25</v>
      </c>
    </row>
    <row r="129" spans="1:10" ht="15.75" customHeight="1" x14ac:dyDescent="0.3">
      <c r="A129" s="7" t="s">
        <v>144</v>
      </c>
      <c r="B129" s="24">
        <v>45974</v>
      </c>
      <c r="C129" s="7" t="s">
        <v>6</v>
      </c>
      <c r="D129" s="7" t="s">
        <v>17</v>
      </c>
      <c r="E129" s="7">
        <v>4346.51</v>
      </c>
      <c r="F129" s="14" t="str">
        <f t="shared" si="2"/>
        <v>Nov</v>
      </c>
      <c r="G129" s="9" t="str">
        <f>IFERROR( _xlfn.XLOOKUP(D129, Product_Reference!$A$2:$A$7, Product_Reference!$B$2:$B$7, "Unknown Product"),"Check Reference")</f>
        <v>Laptop</v>
      </c>
      <c r="H129" s="9" t="str">
        <f>IF(ISNA(VLOOKUP(D129, Product_Reference!$A$2:$D$7, 3, FALSE)),"Type Not Found",VLOOKUP(D129, Product_Reference!$A$2:$D$7, 3, FALSE))</f>
        <v>Hardware</v>
      </c>
      <c r="I129" s="9">
        <f>IFERROR(INDEX(Product_Reference!$D$2:$D$7, MATCH(D129, Product_Reference!$A$2:$A$7, 0)),"N/A")</f>
        <v>1200</v>
      </c>
      <c r="J129" s="9">
        <f t="shared" si="3"/>
        <v>3146.51</v>
      </c>
    </row>
    <row r="130" spans="1:10" ht="15.75" customHeight="1" x14ac:dyDescent="0.3">
      <c r="A130" s="7" t="s">
        <v>145</v>
      </c>
      <c r="B130" s="24">
        <v>45961</v>
      </c>
      <c r="C130" s="7" t="s">
        <v>14</v>
      </c>
      <c r="D130" s="7" t="s">
        <v>7</v>
      </c>
      <c r="E130" s="7">
        <v>401.17</v>
      </c>
      <c r="F130" s="14" t="str">
        <f t="shared" si="2"/>
        <v>Oct</v>
      </c>
      <c r="G130" s="9" t="str">
        <f>IFERROR( _xlfn.XLOOKUP(D130, Product_Reference!$A$2:$A$7, Product_Reference!$B$2:$B$7, "Unknown Product"),"Check Reference")</f>
        <v>Cloud Storage</v>
      </c>
      <c r="H130" s="9" t="str">
        <f>IF(ISNA(VLOOKUP(D130, Product_Reference!$A$2:$D$7, 3, FALSE)),"Type Not Found",VLOOKUP(D130, Product_Reference!$A$2:$D$7, 3, FALSE))</f>
        <v>Software</v>
      </c>
      <c r="I130" s="9">
        <f>IFERROR(INDEX(Product_Reference!$D$2:$D$7, MATCH(D130, Product_Reference!$A$2:$A$7, 0)),"N/A")</f>
        <v>50</v>
      </c>
      <c r="J130" s="9">
        <f t="shared" si="3"/>
        <v>351.17</v>
      </c>
    </row>
    <row r="131" spans="1:10" ht="15.75" customHeight="1" x14ac:dyDescent="0.3">
      <c r="A131" s="7" t="s">
        <v>146</v>
      </c>
      <c r="B131" s="24">
        <v>45943</v>
      </c>
      <c r="C131" s="7" t="s">
        <v>16</v>
      </c>
      <c r="D131" s="7" t="s">
        <v>22</v>
      </c>
      <c r="E131" s="7">
        <v>3027.88</v>
      </c>
      <c r="F131" s="14" t="str">
        <f t="shared" ref="F131:F194" si="4">TEXT(B131, "mmm")</f>
        <v>Oct</v>
      </c>
      <c r="G131" s="9" t="str">
        <f>IFERROR( _xlfn.XLOOKUP(D131, Product_Reference!$A$2:$A$7, Product_Reference!$B$2:$B$7, "Unknown Product"),"Check Reference")</f>
        <v>Office Suite</v>
      </c>
      <c r="H131" s="9" t="str">
        <f>IF(ISNA(VLOOKUP(D131, Product_Reference!$A$2:$D$7, 3, FALSE)),"Type Not Found",VLOOKUP(D131, Product_Reference!$A$2:$D$7, 3, FALSE))</f>
        <v>Software</v>
      </c>
      <c r="I131" s="9">
        <f>IFERROR(INDEX(Product_Reference!$D$2:$D$7, MATCH(D131, Product_Reference!$A$2:$A$7, 0)),"N/A")</f>
        <v>350</v>
      </c>
      <c r="J131" s="9">
        <f t="shared" ref="J131:J194" si="5">IFERROR(E131-I131, "Cannot Calculate")</f>
        <v>2677.88</v>
      </c>
    </row>
    <row r="132" spans="1:10" ht="15.75" customHeight="1" x14ac:dyDescent="0.3">
      <c r="A132" s="7" t="s">
        <v>147</v>
      </c>
      <c r="B132" s="24">
        <v>45974</v>
      </c>
      <c r="C132" s="7" t="s">
        <v>6</v>
      </c>
      <c r="D132" s="7" t="s">
        <v>10</v>
      </c>
      <c r="E132" s="7">
        <v>2806.72</v>
      </c>
      <c r="F132" s="14" t="str">
        <f t="shared" si="4"/>
        <v>Nov</v>
      </c>
      <c r="G132" s="9" t="str">
        <f>IFERROR( _xlfn.XLOOKUP(D132, Product_Reference!$A$2:$A$7, Product_Reference!$B$2:$B$7, "Unknown Product"),"Check Reference")</f>
        <v>Desktop</v>
      </c>
      <c r="H132" s="9" t="str">
        <f>IF(ISNA(VLOOKUP(D132, Product_Reference!$A$2:$D$7, 3, FALSE)),"Type Not Found",VLOOKUP(D132, Product_Reference!$A$2:$D$7, 3, FALSE))</f>
        <v>Hardware</v>
      </c>
      <c r="I132" s="9">
        <f>IFERROR(INDEX(Product_Reference!$D$2:$D$7, MATCH(D132, Product_Reference!$A$2:$A$7, 0)),"N/A")</f>
        <v>800</v>
      </c>
      <c r="J132" s="9">
        <f t="shared" si="5"/>
        <v>2006.7199999999998</v>
      </c>
    </row>
    <row r="133" spans="1:10" ht="15.75" customHeight="1" x14ac:dyDescent="0.3">
      <c r="A133" s="7" t="s">
        <v>148</v>
      </c>
      <c r="B133" s="24">
        <v>45967</v>
      </c>
      <c r="C133" s="7" t="s">
        <v>9</v>
      </c>
      <c r="D133" s="7" t="s">
        <v>25</v>
      </c>
      <c r="E133" s="7">
        <v>4059.99</v>
      </c>
      <c r="F133" s="14" t="str">
        <f t="shared" si="4"/>
        <v>Nov</v>
      </c>
      <c r="G133" s="9" t="str">
        <f>IFERROR( _xlfn.XLOOKUP(D133, Product_Reference!$A$2:$A$7, Product_Reference!$B$2:$B$7, "Unknown Product"),"Check Reference")</f>
        <v>Monitor</v>
      </c>
      <c r="H133" s="9" t="str">
        <f>IF(ISNA(VLOOKUP(D133, Product_Reference!$A$2:$D$7, 3, FALSE)),"Type Not Found",VLOOKUP(D133, Product_Reference!$A$2:$D$7, 3, FALSE))</f>
        <v>Hardware</v>
      </c>
      <c r="I133" s="9">
        <f>IFERROR(INDEX(Product_Reference!$D$2:$D$7, MATCH(D133, Product_Reference!$A$2:$A$7, 0)),"N/A")</f>
        <v>250</v>
      </c>
      <c r="J133" s="9">
        <f t="shared" si="5"/>
        <v>3809.99</v>
      </c>
    </row>
    <row r="134" spans="1:10" ht="15.75" customHeight="1" x14ac:dyDescent="0.3">
      <c r="A134" s="7" t="s">
        <v>149</v>
      </c>
      <c r="B134" s="24">
        <v>45698</v>
      </c>
      <c r="C134" s="7" t="s">
        <v>9</v>
      </c>
      <c r="D134" s="7" t="s">
        <v>12</v>
      </c>
      <c r="E134" s="7">
        <v>3812.44</v>
      </c>
      <c r="F134" s="14" t="str">
        <f t="shared" si="4"/>
        <v>Feb</v>
      </c>
      <c r="G134" s="9" t="str">
        <f>IFERROR( _xlfn.XLOOKUP(D134, Product_Reference!$A$2:$A$7, Product_Reference!$B$2:$B$7, "Unknown Product"),"Check Reference")</f>
        <v>Unknown Product</v>
      </c>
      <c r="H134" s="9" t="str">
        <f>IF(ISNA(VLOOKUP(D134, Product_Reference!$A$2:$D$7, 3, FALSE)),"Type Not Found",VLOOKUP(D134, Product_Reference!$A$2:$D$7, 3, FALSE))</f>
        <v>Type Not Found</v>
      </c>
      <c r="I134" s="9" t="str">
        <f>IFERROR(INDEX(Product_Reference!$D$2:$D$7, MATCH(D134, Product_Reference!$A$2:$A$7, 0)),"N/A")</f>
        <v>N/A</v>
      </c>
      <c r="J134" s="9" t="str">
        <f t="shared" si="5"/>
        <v>Cannot Calculate</v>
      </c>
    </row>
    <row r="135" spans="1:10" ht="15.75" customHeight="1" x14ac:dyDescent="0.3">
      <c r="A135" s="7" t="s">
        <v>150</v>
      </c>
      <c r="B135" s="24">
        <v>45877</v>
      </c>
      <c r="C135" s="7" t="s">
        <v>16</v>
      </c>
      <c r="D135" s="7" t="s">
        <v>22</v>
      </c>
      <c r="E135" s="7">
        <v>2042.95</v>
      </c>
      <c r="F135" s="14" t="str">
        <f t="shared" si="4"/>
        <v>Aug</v>
      </c>
      <c r="G135" s="9" t="str">
        <f>IFERROR( _xlfn.XLOOKUP(D135, Product_Reference!$A$2:$A$7, Product_Reference!$B$2:$B$7, "Unknown Product"),"Check Reference")</f>
        <v>Office Suite</v>
      </c>
      <c r="H135" s="9" t="str">
        <f>IF(ISNA(VLOOKUP(D135, Product_Reference!$A$2:$D$7, 3, FALSE)),"Type Not Found",VLOOKUP(D135, Product_Reference!$A$2:$D$7, 3, FALSE))</f>
        <v>Software</v>
      </c>
      <c r="I135" s="9">
        <f>IFERROR(INDEX(Product_Reference!$D$2:$D$7, MATCH(D135, Product_Reference!$A$2:$A$7, 0)),"N/A")</f>
        <v>350</v>
      </c>
      <c r="J135" s="9">
        <f t="shared" si="5"/>
        <v>1692.95</v>
      </c>
    </row>
    <row r="136" spans="1:10" ht="15.75" customHeight="1" x14ac:dyDescent="0.3">
      <c r="A136" s="7" t="s">
        <v>151</v>
      </c>
      <c r="B136" s="24">
        <v>45959</v>
      </c>
      <c r="C136" s="7" t="s">
        <v>14</v>
      </c>
      <c r="D136" s="7" t="s">
        <v>25</v>
      </c>
      <c r="E136" s="7">
        <v>2465.71</v>
      </c>
      <c r="F136" s="14" t="str">
        <f t="shared" si="4"/>
        <v>Oct</v>
      </c>
      <c r="G136" s="9" t="str">
        <f>IFERROR( _xlfn.XLOOKUP(D136, Product_Reference!$A$2:$A$7, Product_Reference!$B$2:$B$7, "Unknown Product"),"Check Reference")</f>
        <v>Monitor</v>
      </c>
      <c r="H136" s="9" t="str">
        <f>IF(ISNA(VLOOKUP(D136, Product_Reference!$A$2:$D$7, 3, FALSE)),"Type Not Found",VLOOKUP(D136, Product_Reference!$A$2:$D$7, 3, FALSE))</f>
        <v>Hardware</v>
      </c>
      <c r="I136" s="9">
        <f>IFERROR(INDEX(Product_Reference!$D$2:$D$7, MATCH(D136, Product_Reference!$A$2:$A$7, 0)),"N/A")</f>
        <v>250</v>
      </c>
      <c r="J136" s="9">
        <f t="shared" si="5"/>
        <v>2215.71</v>
      </c>
    </row>
    <row r="137" spans="1:10" ht="15.75" customHeight="1" x14ac:dyDescent="0.3">
      <c r="A137" s="7" t="s">
        <v>152</v>
      </c>
      <c r="B137" s="24">
        <v>45755</v>
      </c>
      <c r="C137" s="7" t="s">
        <v>14</v>
      </c>
      <c r="D137" s="7" t="s">
        <v>12</v>
      </c>
      <c r="E137" s="7">
        <v>1421.46</v>
      </c>
      <c r="F137" s="14" t="str">
        <f t="shared" si="4"/>
        <v>Apr</v>
      </c>
      <c r="G137" s="9" t="str">
        <f>IFERROR( _xlfn.XLOOKUP(D137, Product_Reference!$A$2:$A$7, Product_Reference!$B$2:$B$7, "Unknown Product"),"Check Reference")</f>
        <v>Unknown Product</v>
      </c>
      <c r="H137" s="9" t="str">
        <f>IF(ISNA(VLOOKUP(D137, Product_Reference!$A$2:$D$7, 3, FALSE)),"Type Not Found",VLOOKUP(D137, Product_Reference!$A$2:$D$7, 3, FALSE))</f>
        <v>Type Not Found</v>
      </c>
      <c r="I137" s="9" t="str">
        <f>IFERROR(INDEX(Product_Reference!$D$2:$D$7, MATCH(D137, Product_Reference!$A$2:$A$7, 0)),"N/A")</f>
        <v>N/A</v>
      </c>
      <c r="J137" s="9" t="str">
        <f t="shared" si="5"/>
        <v>Cannot Calculate</v>
      </c>
    </row>
    <row r="138" spans="1:10" ht="15.75" customHeight="1" x14ac:dyDescent="0.3">
      <c r="A138" s="7" t="s">
        <v>153</v>
      </c>
      <c r="B138" s="24">
        <v>45950</v>
      </c>
      <c r="C138" s="7" t="s">
        <v>6</v>
      </c>
      <c r="D138" s="7" t="s">
        <v>19</v>
      </c>
      <c r="E138" s="7">
        <v>3120.59</v>
      </c>
      <c r="F138" s="14" t="str">
        <f t="shared" si="4"/>
        <v>Oct</v>
      </c>
      <c r="G138" s="9" t="str">
        <f>IFERROR( _xlfn.XLOOKUP(D138, Product_Reference!$A$2:$A$7, Product_Reference!$B$2:$B$7, "Unknown Product"),"Check Reference")</f>
        <v>Keyboard</v>
      </c>
      <c r="H138" s="9" t="str">
        <f>IF(ISNA(VLOOKUP(D138, Product_Reference!$A$2:$D$7, 3, FALSE)),"Type Not Found",VLOOKUP(D138, Product_Reference!$A$2:$D$7, 3, FALSE))</f>
        <v>Accessories</v>
      </c>
      <c r="I138" s="9">
        <f>IFERROR(INDEX(Product_Reference!$D$2:$D$7, MATCH(D138, Product_Reference!$A$2:$A$7, 0)),"N/A")</f>
        <v>45</v>
      </c>
      <c r="J138" s="9">
        <f t="shared" si="5"/>
        <v>3075.59</v>
      </c>
    </row>
    <row r="139" spans="1:10" ht="15.75" customHeight="1" x14ac:dyDescent="0.3">
      <c r="A139" s="7" t="s">
        <v>154</v>
      </c>
      <c r="B139" s="24">
        <v>45824</v>
      </c>
      <c r="C139" s="7" t="s">
        <v>16</v>
      </c>
      <c r="D139" s="7" t="s">
        <v>10</v>
      </c>
      <c r="E139" s="7">
        <v>3262.23</v>
      </c>
      <c r="F139" s="14" t="str">
        <f t="shared" si="4"/>
        <v>Jun</v>
      </c>
      <c r="G139" s="9" t="str">
        <f>IFERROR( _xlfn.XLOOKUP(D139, Product_Reference!$A$2:$A$7, Product_Reference!$B$2:$B$7, "Unknown Product"),"Check Reference")</f>
        <v>Desktop</v>
      </c>
      <c r="H139" s="9" t="str">
        <f>IF(ISNA(VLOOKUP(D139, Product_Reference!$A$2:$D$7, 3, FALSE)),"Type Not Found",VLOOKUP(D139, Product_Reference!$A$2:$D$7, 3, FALSE))</f>
        <v>Hardware</v>
      </c>
      <c r="I139" s="9">
        <f>IFERROR(INDEX(Product_Reference!$D$2:$D$7, MATCH(D139, Product_Reference!$A$2:$A$7, 0)),"N/A")</f>
        <v>800</v>
      </c>
      <c r="J139" s="9">
        <f t="shared" si="5"/>
        <v>2462.23</v>
      </c>
    </row>
    <row r="140" spans="1:10" ht="15.75" customHeight="1" x14ac:dyDescent="0.3">
      <c r="A140" s="7" t="s">
        <v>155</v>
      </c>
      <c r="B140" s="24">
        <v>45795</v>
      </c>
      <c r="C140" s="7" t="s">
        <v>21</v>
      </c>
      <c r="D140" s="7" t="s">
        <v>22</v>
      </c>
      <c r="E140" s="7">
        <v>2455.2399999999998</v>
      </c>
      <c r="F140" s="14" t="str">
        <f t="shared" si="4"/>
        <v>May</v>
      </c>
      <c r="G140" s="9" t="str">
        <f>IFERROR( _xlfn.XLOOKUP(D140, Product_Reference!$A$2:$A$7, Product_Reference!$B$2:$B$7, "Unknown Product"),"Check Reference")</f>
        <v>Office Suite</v>
      </c>
      <c r="H140" s="9" t="str">
        <f>IF(ISNA(VLOOKUP(D140, Product_Reference!$A$2:$D$7, 3, FALSE)),"Type Not Found",VLOOKUP(D140, Product_Reference!$A$2:$D$7, 3, FALSE))</f>
        <v>Software</v>
      </c>
      <c r="I140" s="9">
        <f>IFERROR(INDEX(Product_Reference!$D$2:$D$7, MATCH(D140, Product_Reference!$A$2:$A$7, 0)),"N/A")</f>
        <v>350</v>
      </c>
      <c r="J140" s="9">
        <f t="shared" si="5"/>
        <v>2105.2399999999998</v>
      </c>
    </row>
    <row r="141" spans="1:10" ht="15.75" customHeight="1" x14ac:dyDescent="0.3">
      <c r="A141" s="7" t="s">
        <v>156</v>
      </c>
      <c r="B141" s="24">
        <v>45783</v>
      </c>
      <c r="C141" s="7" t="s">
        <v>21</v>
      </c>
      <c r="D141" s="7" t="s">
        <v>12</v>
      </c>
      <c r="E141" s="7">
        <v>4630.01</v>
      </c>
      <c r="F141" s="14" t="str">
        <f t="shared" si="4"/>
        <v>May</v>
      </c>
      <c r="G141" s="9" t="str">
        <f>IFERROR( _xlfn.XLOOKUP(D141, Product_Reference!$A$2:$A$7, Product_Reference!$B$2:$B$7, "Unknown Product"),"Check Reference")</f>
        <v>Unknown Product</v>
      </c>
      <c r="H141" s="9" t="str">
        <f>IF(ISNA(VLOOKUP(D141, Product_Reference!$A$2:$D$7, 3, FALSE)),"Type Not Found",VLOOKUP(D141, Product_Reference!$A$2:$D$7, 3, FALSE))</f>
        <v>Type Not Found</v>
      </c>
      <c r="I141" s="9" t="str">
        <f>IFERROR(INDEX(Product_Reference!$D$2:$D$7, MATCH(D141, Product_Reference!$A$2:$A$7, 0)),"N/A")</f>
        <v>N/A</v>
      </c>
      <c r="J141" s="9" t="str">
        <f t="shared" si="5"/>
        <v>Cannot Calculate</v>
      </c>
    </row>
    <row r="142" spans="1:10" ht="15.75" customHeight="1" x14ac:dyDescent="0.3">
      <c r="A142" s="7" t="s">
        <v>157</v>
      </c>
      <c r="B142" s="24">
        <v>45710</v>
      </c>
      <c r="C142" s="7" t="s">
        <v>9</v>
      </c>
      <c r="D142" s="7" t="s">
        <v>7</v>
      </c>
      <c r="E142" s="7">
        <v>3499.23</v>
      </c>
      <c r="F142" s="14" t="str">
        <f t="shared" si="4"/>
        <v>Feb</v>
      </c>
      <c r="G142" s="9" t="str">
        <f>IFERROR( _xlfn.XLOOKUP(D142, Product_Reference!$A$2:$A$7, Product_Reference!$B$2:$B$7, "Unknown Product"),"Check Reference")</f>
        <v>Cloud Storage</v>
      </c>
      <c r="H142" s="9" t="str">
        <f>IF(ISNA(VLOOKUP(D142, Product_Reference!$A$2:$D$7, 3, FALSE)),"Type Not Found",VLOOKUP(D142, Product_Reference!$A$2:$D$7, 3, FALSE))</f>
        <v>Software</v>
      </c>
      <c r="I142" s="9">
        <f>IFERROR(INDEX(Product_Reference!$D$2:$D$7, MATCH(D142, Product_Reference!$A$2:$A$7, 0)),"N/A")</f>
        <v>50</v>
      </c>
      <c r="J142" s="9">
        <f t="shared" si="5"/>
        <v>3449.23</v>
      </c>
    </row>
    <row r="143" spans="1:10" ht="15.75" customHeight="1" x14ac:dyDescent="0.3">
      <c r="A143" s="7" t="s">
        <v>158</v>
      </c>
      <c r="B143" s="24">
        <v>45725</v>
      </c>
      <c r="C143" s="7" t="s">
        <v>16</v>
      </c>
      <c r="D143" s="7" t="s">
        <v>17</v>
      </c>
      <c r="E143" s="7">
        <v>3876.94</v>
      </c>
      <c r="F143" s="14" t="str">
        <f t="shared" si="4"/>
        <v>Mar</v>
      </c>
      <c r="G143" s="9" t="str">
        <f>IFERROR( _xlfn.XLOOKUP(D143, Product_Reference!$A$2:$A$7, Product_Reference!$B$2:$B$7, "Unknown Product"),"Check Reference")</f>
        <v>Laptop</v>
      </c>
      <c r="H143" s="9" t="str">
        <f>IF(ISNA(VLOOKUP(D143, Product_Reference!$A$2:$D$7, 3, FALSE)),"Type Not Found",VLOOKUP(D143, Product_Reference!$A$2:$D$7, 3, FALSE))</f>
        <v>Hardware</v>
      </c>
      <c r="I143" s="9">
        <f>IFERROR(INDEX(Product_Reference!$D$2:$D$7, MATCH(D143, Product_Reference!$A$2:$A$7, 0)),"N/A")</f>
        <v>1200</v>
      </c>
      <c r="J143" s="9">
        <f t="shared" si="5"/>
        <v>2676.94</v>
      </c>
    </row>
    <row r="144" spans="1:10" ht="15.75" customHeight="1" x14ac:dyDescent="0.3">
      <c r="A144" s="7" t="s">
        <v>159</v>
      </c>
      <c r="B144" s="24">
        <v>45957</v>
      </c>
      <c r="C144" s="7" t="s">
        <v>9</v>
      </c>
      <c r="D144" s="7" t="s">
        <v>19</v>
      </c>
      <c r="E144" s="7">
        <v>1600.41</v>
      </c>
      <c r="F144" s="14" t="str">
        <f t="shared" si="4"/>
        <v>Oct</v>
      </c>
      <c r="G144" s="9" t="str">
        <f>IFERROR( _xlfn.XLOOKUP(D144, Product_Reference!$A$2:$A$7, Product_Reference!$B$2:$B$7, "Unknown Product"),"Check Reference")</f>
        <v>Keyboard</v>
      </c>
      <c r="H144" s="9" t="str">
        <f>IF(ISNA(VLOOKUP(D144, Product_Reference!$A$2:$D$7, 3, FALSE)),"Type Not Found",VLOOKUP(D144, Product_Reference!$A$2:$D$7, 3, FALSE))</f>
        <v>Accessories</v>
      </c>
      <c r="I144" s="9">
        <f>IFERROR(INDEX(Product_Reference!$D$2:$D$7, MATCH(D144, Product_Reference!$A$2:$A$7, 0)),"N/A")</f>
        <v>45</v>
      </c>
      <c r="J144" s="9">
        <f t="shared" si="5"/>
        <v>1555.41</v>
      </c>
    </row>
    <row r="145" spans="1:10" ht="15.75" customHeight="1" x14ac:dyDescent="0.3">
      <c r="A145" s="7" t="s">
        <v>160</v>
      </c>
      <c r="B145" s="24">
        <v>45787</v>
      </c>
      <c r="C145" s="7" t="s">
        <v>6</v>
      </c>
      <c r="D145" s="7" t="s">
        <v>12</v>
      </c>
      <c r="E145" s="7">
        <v>3568.16</v>
      </c>
      <c r="F145" s="14" t="str">
        <f t="shared" si="4"/>
        <v>May</v>
      </c>
      <c r="G145" s="9" t="str">
        <f>IFERROR( _xlfn.XLOOKUP(D145, Product_Reference!$A$2:$A$7, Product_Reference!$B$2:$B$7, "Unknown Product"),"Check Reference")</f>
        <v>Unknown Product</v>
      </c>
      <c r="H145" s="9" t="str">
        <f>IF(ISNA(VLOOKUP(D145, Product_Reference!$A$2:$D$7, 3, FALSE)),"Type Not Found",VLOOKUP(D145, Product_Reference!$A$2:$D$7, 3, FALSE))</f>
        <v>Type Not Found</v>
      </c>
      <c r="I145" s="9" t="str">
        <f>IFERROR(INDEX(Product_Reference!$D$2:$D$7, MATCH(D145, Product_Reference!$A$2:$A$7, 0)),"N/A")</f>
        <v>N/A</v>
      </c>
      <c r="J145" s="9" t="str">
        <f t="shared" si="5"/>
        <v>Cannot Calculate</v>
      </c>
    </row>
    <row r="146" spans="1:10" ht="15.75" customHeight="1" x14ac:dyDescent="0.3">
      <c r="A146" s="7" t="s">
        <v>161</v>
      </c>
      <c r="B146" s="24">
        <v>45737</v>
      </c>
      <c r="C146" s="7" t="s">
        <v>9</v>
      </c>
      <c r="D146" s="7" t="s">
        <v>19</v>
      </c>
      <c r="E146" s="7">
        <v>1346.44</v>
      </c>
      <c r="F146" s="14" t="str">
        <f t="shared" si="4"/>
        <v>Mar</v>
      </c>
      <c r="G146" s="9" t="str">
        <f>IFERROR( _xlfn.XLOOKUP(D146, Product_Reference!$A$2:$A$7, Product_Reference!$B$2:$B$7, "Unknown Product"),"Check Reference")</f>
        <v>Keyboard</v>
      </c>
      <c r="H146" s="9" t="str">
        <f>IF(ISNA(VLOOKUP(D146, Product_Reference!$A$2:$D$7, 3, FALSE)),"Type Not Found",VLOOKUP(D146, Product_Reference!$A$2:$D$7, 3, FALSE))</f>
        <v>Accessories</v>
      </c>
      <c r="I146" s="9">
        <f>IFERROR(INDEX(Product_Reference!$D$2:$D$7, MATCH(D146, Product_Reference!$A$2:$A$7, 0)),"N/A")</f>
        <v>45</v>
      </c>
      <c r="J146" s="9">
        <f t="shared" si="5"/>
        <v>1301.44</v>
      </c>
    </row>
    <row r="147" spans="1:10" ht="15.75" customHeight="1" x14ac:dyDescent="0.3">
      <c r="A147" s="7" t="s">
        <v>162</v>
      </c>
      <c r="B147" s="24">
        <v>45726</v>
      </c>
      <c r="C147" s="7" t="s">
        <v>21</v>
      </c>
      <c r="D147" s="7" t="s">
        <v>19</v>
      </c>
      <c r="E147" s="7">
        <v>4899.4799999999996</v>
      </c>
      <c r="F147" s="14" t="str">
        <f t="shared" si="4"/>
        <v>Mar</v>
      </c>
      <c r="G147" s="9" t="str">
        <f>IFERROR( _xlfn.XLOOKUP(D147, Product_Reference!$A$2:$A$7, Product_Reference!$B$2:$B$7, "Unknown Product"),"Check Reference")</f>
        <v>Keyboard</v>
      </c>
      <c r="H147" s="9" t="str">
        <f>IF(ISNA(VLOOKUP(D147, Product_Reference!$A$2:$D$7, 3, FALSE)),"Type Not Found",VLOOKUP(D147, Product_Reference!$A$2:$D$7, 3, FALSE))</f>
        <v>Accessories</v>
      </c>
      <c r="I147" s="9">
        <f>IFERROR(INDEX(Product_Reference!$D$2:$D$7, MATCH(D147, Product_Reference!$A$2:$A$7, 0)),"N/A")</f>
        <v>45</v>
      </c>
      <c r="J147" s="9">
        <f t="shared" si="5"/>
        <v>4854.4799999999996</v>
      </c>
    </row>
    <row r="148" spans="1:10" ht="15.75" customHeight="1" x14ac:dyDescent="0.3">
      <c r="A148" s="7" t="s">
        <v>163</v>
      </c>
      <c r="B148" s="24">
        <v>45854</v>
      </c>
      <c r="C148" s="7" t="s">
        <v>6</v>
      </c>
      <c r="D148" s="7" t="s">
        <v>17</v>
      </c>
      <c r="E148" s="7">
        <v>1642.75</v>
      </c>
      <c r="F148" s="14" t="str">
        <f t="shared" si="4"/>
        <v>Jul</v>
      </c>
      <c r="G148" s="9" t="str">
        <f>IFERROR( _xlfn.XLOOKUP(D148, Product_Reference!$A$2:$A$7, Product_Reference!$B$2:$B$7, "Unknown Product"),"Check Reference")</f>
        <v>Laptop</v>
      </c>
      <c r="H148" s="9" t="str">
        <f>IF(ISNA(VLOOKUP(D148, Product_Reference!$A$2:$D$7, 3, FALSE)),"Type Not Found",VLOOKUP(D148, Product_Reference!$A$2:$D$7, 3, FALSE))</f>
        <v>Hardware</v>
      </c>
      <c r="I148" s="9">
        <f>IFERROR(INDEX(Product_Reference!$D$2:$D$7, MATCH(D148, Product_Reference!$A$2:$A$7, 0)),"N/A")</f>
        <v>1200</v>
      </c>
      <c r="J148" s="9">
        <f t="shared" si="5"/>
        <v>442.75</v>
      </c>
    </row>
    <row r="149" spans="1:10" ht="15.75" customHeight="1" x14ac:dyDescent="0.3">
      <c r="A149" s="7" t="s">
        <v>164</v>
      </c>
      <c r="B149" s="24">
        <v>45719</v>
      </c>
      <c r="C149" s="7" t="s">
        <v>16</v>
      </c>
      <c r="D149" s="7" t="s">
        <v>17</v>
      </c>
      <c r="E149" s="7">
        <v>3668.64</v>
      </c>
      <c r="F149" s="14" t="str">
        <f t="shared" si="4"/>
        <v>Mar</v>
      </c>
      <c r="G149" s="9" t="str">
        <f>IFERROR( _xlfn.XLOOKUP(D149, Product_Reference!$A$2:$A$7, Product_Reference!$B$2:$B$7, "Unknown Product"),"Check Reference")</f>
        <v>Laptop</v>
      </c>
      <c r="H149" s="9" t="str">
        <f>IF(ISNA(VLOOKUP(D149, Product_Reference!$A$2:$D$7, 3, FALSE)),"Type Not Found",VLOOKUP(D149, Product_Reference!$A$2:$D$7, 3, FALSE))</f>
        <v>Hardware</v>
      </c>
      <c r="I149" s="9">
        <f>IFERROR(INDEX(Product_Reference!$D$2:$D$7, MATCH(D149, Product_Reference!$A$2:$A$7, 0)),"N/A")</f>
        <v>1200</v>
      </c>
      <c r="J149" s="9">
        <f t="shared" si="5"/>
        <v>2468.64</v>
      </c>
    </row>
    <row r="150" spans="1:10" ht="15.75" customHeight="1" x14ac:dyDescent="0.3">
      <c r="A150" s="7" t="s">
        <v>165</v>
      </c>
      <c r="B150" s="24">
        <v>45804</v>
      </c>
      <c r="C150" s="7" t="s">
        <v>16</v>
      </c>
      <c r="D150" s="7" t="s">
        <v>22</v>
      </c>
      <c r="E150" s="7">
        <v>150.86000000000001</v>
      </c>
      <c r="F150" s="14" t="str">
        <f t="shared" si="4"/>
        <v>May</v>
      </c>
      <c r="G150" s="9" t="str">
        <f>IFERROR( _xlfn.XLOOKUP(D150, Product_Reference!$A$2:$A$7, Product_Reference!$B$2:$B$7, "Unknown Product"),"Check Reference")</f>
        <v>Office Suite</v>
      </c>
      <c r="H150" s="9" t="str">
        <f>IF(ISNA(VLOOKUP(D150, Product_Reference!$A$2:$D$7, 3, FALSE)),"Type Not Found",VLOOKUP(D150, Product_Reference!$A$2:$D$7, 3, FALSE))</f>
        <v>Software</v>
      </c>
      <c r="I150" s="9">
        <f>IFERROR(INDEX(Product_Reference!$D$2:$D$7, MATCH(D150, Product_Reference!$A$2:$A$7, 0)),"N/A")</f>
        <v>350</v>
      </c>
      <c r="J150" s="9">
        <f t="shared" si="5"/>
        <v>-199.14</v>
      </c>
    </row>
    <row r="151" spans="1:10" ht="15.75" customHeight="1" x14ac:dyDescent="0.3">
      <c r="A151" s="7" t="s">
        <v>166</v>
      </c>
      <c r="B151" s="24">
        <v>45965</v>
      </c>
      <c r="C151" s="7" t="s">
        <v>14</v>
      </c>
      <c r="D151" s="7" t="s">
        <v>25</v>
      </c>
      <c r="E151" s="7">
        <v>1025.76</v>
      </c>
      <c r="F151" s="14" t="str">
        <f t="shared" si="4"/>
        <v>Nov</v>
      </c>
      <c r="G151" s="9" t="str">
        <f>IFERROR( _xlfn.XLOOKUP(D151, Product_Reference!$A$2:$A$7, Product_Reference!$B$2:$B$7, "Unknown Product"),"Check Reference")</f>
        <v>Monitor</v>
      </c>
      <c r="H151" s="9" t="str">
        <f>IF(ISNA(VLOOKUP(D151, Product_Reference!$A$2:$D$7, 3, FALSE)),"Type Not Found",VLOOKUP(D151, Product_Reference!$A$2:$D$7, 3, FALSE))</f>
        <v>Hardware</v>
      </c>
      <c r="I151" s="9">
        <f>IFERROR(INDEX(Product_Reference!$D$2:$D$7, MATCH(D151, Product_Reference!$A$2:$A$7, 0)),"N/A")</f>
        <v>250</v>
      </c>
      <c r="J151" s="9">
        <f t="shared" si="5"/>
        <v>775.76</v>
      </c>
    </row>
    <row r="152" spans="1:10" ht="15.75" customHeight="1" x14ac:dyDescent="0.3">
      <c r="A152" s="7" t="s">
        <v>167</v>
      </c>
      <c r="B152" s="24">
        <v>45928</v>
      </c>
      <c r="C152" s="7" t="s">
        <v>6</v>
      </c>
      <c r="D152" s="7" t="s">
        <v>12</v>
      </c>
      <c r="E152" s="7">
        <v>276.02</v>
      </c>
      <c r="F152" s="14" t="str">
        <f t="shared" si="4"/>
        <v>Sep</v>
      </c>
      <c r="G152" s="9" t="str">
        <f>IFERROR( _xlfn.XLOOKUP(D152, Product_Reference!$A$2:$A$7, Product_Reference!$B$2:$B$7, "Unknown Product"),"Check Reference")</f>
        <v>Unknown Product</v>
      </c>
      <c r="H152" s="9" t="str">
        <f>IF(ISNA(VLOOKUP(D152, Product_Reference!$A$2:$D$7, 3, FALSE)),"Type Not Found",VLOOKUP(D152, Product_Reference!$A$2:$D$7, 3, FALSE))</f>
        <v>Type Not Found</v>
      </c>
      <c r="I152" s="9" t="str">
        <f>IFERROR(INDEX(Product_Reference!$D$2:$D$7, MATCH(D152, Product_Reference!$A$2:$A$7, 0)),"N/A")</f>
        <v>N/A</v>
      </c>
      <c r="J152" s="9" t="str">
        <f t="shared" si="5"/>
        <v>Cannot Calculate</v>
      </c>
    </row>
    <row r="153" spans="1:10" ht="15.75" customHeight="1" x14ac:dyDescent="0.3">
      <c r="A153" s="7" t="s">
        <v>168</v>
      </c>
      <c r="B153" s="24">
        <v>45745</v>
      </c>
      <c r="C153" s="7" t="s">
        <v>6</v>
      </c>
      <c r="D153" s="7" t="s">
        <v>19</v>
      </c>
      <c r="E153" s="7">
        <v>1566.24</v>
      </c>
      <c r="F153" s="14" t="str">
        <f t="shared" si="4"/>
        <v>Mar</v>
      </c>
      <c r="G153" s="9" t="str">
        <f>IFERROR( _xlfn.XLOOKUP(D153, Product_Reference!$A$2:$A$7, Product_Reference!$B$2:$B$7, "Unknown Product"),"Check Reference")</f>
        <v>Keyboard</v>
      </c>
      <c r="H153" s="9" t="str">
        <f>IF(ISNA(VLOOKUP(D153, Product_Reference!$A$2:$D$7, 3, FALSE)),"Type Not Found",VLOOKUP(D153, Product_Reference!$A$2:$D$7, 3, FALSE))</f>
        <v>Accessories</v>
      </c>
      <c r="I153" s="9">
        <f>IFERROR(INDEX(Product_Reference!$D$2:$D$7, MATCH(D153, Product_Reference!$A$2:$A$7, 0)),"N/A")</f>
        <v>45</v>
      </c>
      <c r="J153" s="9">
        <f t="shared" si="5"/>
        <v>1521.24</v>
      </c>
    </row>
    <row r="154" spans="1:10" ht="15.75" customHeight="1" x14ac:dyDescent="0.3">
      <c r="A154" s="7" t="s">
        <v>169</v>
      </c>
      <c r="B154" s="24">
        <v>45704</v>
      </c>
      <c r="C154" s="7" t="s">
        <v>21</v>
      </c>
      <c r="D154" s="7" t="s">
        <v>22</v>
      </c>
      <c r="E154" s="7">
        <v>1328.59</v>
      </c>
      <c r="F154" s="14" t="str">
        <f t="shared" si="4"/>
        <v>Feb</v>
      </c>
      <c r="G154" s="9" t="str">
        <f>IFERROR( _xlfn.XLOOKUP(D154, Product_Reference!$A$2:$A$7, Product_Reference!$B$2:$B$7, "Unknown Product"),"Check Reference")</f>
        <v>Office Suite</v>
      </c>
      <c r="H154" s="9" t="str">
        <f>IF(ISNA(VLOOKUP(D154, Product_Reference!$A$2:$D$7, 3, FALSE)),"Type Not Found",VLOOKUP(D154, Product_Reference!$A$2:$D$7, 3, FALSE))</f>
        <v>Software</v>
      </c>
      <c r="I154" s="9">
        <f>IFERROR(INDEX(Product_Reference!$D$2:$D$7, MATCH(D154, Product_Reference!$A$2:$A$7, 0)),"N/A")</f>
        <v>350</v>
      </c>
      <c r="J154" s="9">
        <f t="shared" si="5"/>
        <v>978.58999999999992</v>
      </c>
    </row>
    <row r="155" spans="1:10" ht="15.75" customHeight="1" x14ac:dyDescent="0.3">
      <c r="A155" s="7" t="s">
        <v>170</v>
      </c>
      <c r="B155" s="24">
        <v>45710</v>
      </c>
      <c r="C155" s="7" t="s">
        <v>16</v>
      </c>
      <c r="D155" s="7" t="s">
        <v>17</v>
      </c>
      <c r="E155" s="7">
        <v>373.49</v>
      </c>
      <c r="F155" s="14" t="str">
        <f t="shared" si="4"/>
        <v>Feb</v>
      </c>
      <c r="G155" s="9" t="str">
        <f>IFERROR( _xlfn.XLOOKUP(D155, Product_Reference!$A$2:$A$7, Product_Reference!$B$2:$B$7, "Unknown Product"),"Check Reference")</f>
        <v>Laptop</v>
      </c>
      <c r="H155" s="9" t="str">
        <f>IF(ISNA(VLOOKUP(D155, Product_Reference!$A$2:$D$7, 3, FALSE)),"Type Not Found",VLOOKUP(D155, Product_Reference!$A$2:$D$7, 3, FALSE))</f>
        <v>Hardware</v>
      </c>
      <c r="I155" s="9">
        <f>IFERROR(INDEX(Product_Reference!$D$2:$D$7, MATCH(D155, Product_Reference!$A$2:$A$7, 0)),"N/A")</f>
        <v>1200</v>
      </c>
      <c r="J155" s="9">
        <f t="shared" si="5"/>
        <v>-826.51</v>
      </c>
    </row>
    <row r="156" spans="1:10" ht="15.75" customHeight="1" x14ac:dyDescent="0.3">
      <c r="A156" s="7" t="s">
        <v>171</v>
      </c>
      <c r="B156" s="24">
        <v>45802</v>
      </c>
      <c r="C156" s="7" t="s">
        <v>6</v>
      </c>
      <c r="D156" s="7" t="s">
        <v>7</v>
      </c>
      <c r="E156" s="7">
        <v>2538.9</v>
      </c>
      <c r="F156" s="14" t="str">
        <f t="shared" si="4"/>
        <v>May</v>
      </c>
      <c r="G156" s="9" t="str">
        <f>IFERROR( _xlfn.XLOOKUP(D156, Product_Reference!$A$2:$A$7, Product_Reference!$B$2:$B$7, "Unknown Product"),"Check Reference")</f>
        <v>Cloud Storage</v>
      </c>
      <c r="H156" s="9" t="str">
        <f>IF(ISNA(VLOOKUP(D156, Product_Reference!$A$2:$D$7, 3, FALSE)),"Type Not Found",VLOOKUP(D156, Product_Reference!$A$2:$D$7, 3, FALSE))</f>
        <v>Software</v>
      </c>
      <c r="I156" s="9">
        <f>IFERROR(INDEX(Product_Reference!$D$2:$D$7, MATCH(D156, Product_Reference!$A$2:$A$7, 0)),"N/A")</f>
        <v>50</v>
      </c>
      <c r="J156" s="9">
        <f t="shared" si="5"/>
        <v>2488.9</v>
      </c>
    </row>
    <row r="157" spans="1:10" ht="15.75" customHeight="1" x14ac:dyDescent="0.3">
      <c r="A157" s="7" t="s">
        <v>172</v>
      </c>
      <c r="B157" s="24">
        <v>45742</v>
      </c>
      <c r="C157" s="7" t="s">
        <v>16</v>
      </c>
      <c r="D157" s="7" t="s">
        <v>25</v>
      </c>
      <c r="E157" s="7">
        <v>934.93</v>
      </c>
      <c r="F157" s="14" t="str">
        <f t="shared" si="4"/>
        <v>Mar</v>
      </c>
      <c r="G157" s="9" t="str">
        <f>IFERROR( _xlfn.XLOOKUP(D157, Product_Reference!$A$2:$A$7, Product_Reference!$B$2:$B$7, "Unknown Product"),"Check Reference")</f>
        <v>Monitor</v>
      </c>
      <c r="H157" s="9" t="str">
        <f>IF(ISNA(VLOOKUP(D157, Product_Reference!$A$2:$D$7, 3, FALSE)),"Type Not Found",VLOOKUP(D157, Product_Reference!$A$2:$D$7, 3, FALSE))</f>
        <v>Hardware</v>
      </c>
      <c r="I157" s="9">
        <f>IFERROR(INDEX(Product_Reference!$D$2:$D$7, MATCH(D157, Product_Reference!$A$2:$A$7, 0)),"N/A")</f>
        <v>250</v>
      </c>
      <c r="J157" s="9">
        <f t="shared" si="5"/>
        <v>684.93</v>
      </c>
    </row>
    <row r="158" spans="1:10" ht="15.75" customHeight="1" x14ac:dyDescent="0.3">
      <c r="A158" s="7" t="s">
        <v>173</v>
      </c>
      <c r="B158" s="24">
        <v>45668</v>
      </c>
      <c r="C158" s="7" t="s">
        <v>6</v>
      </c>
      <c r="D158" s="7" t="s">
        <v>22</v>
      </c>
      <c r="E158" s="7">
        <v>4503.93</v>
      </c>
      <c r="F158" s="14" t="str">
        <f t="shared" si="4"/>
        <v>Jan</v>
      </c>
      <c r="G158" s="9" t="str">
        <f>IFERROR( _xlfn.XLOOKUP(D158, Product_Reference!$A$2:$A$7, Product_Reference!$B$2:$B$7, "Unknown Product"),"Check Reference")</f>
        <v>Office Suite</v>
      </c>
      <c r="H158" s="9" t="str">
        <f>IF(ISNA(VLOOKUP(D158, Product_Reference!$A$2:$D$7, 3, FALSE)),"Type Not Found",VLOOKUP(D158, Product_Reference!$A$2:$D$7, 3, FALSE))</f>
        <v>Software</v>
      </c>
      <c r="I158" s="9">
        <f>IFERROR(INDEX(Product_Reference!$D$2:$D$7, MATCH(D158, Product_Reference!$A$2:$A$7, 0)),"N/A")</f>
        <v>350</v>
      </c>
      <c r="J158" s="9">
        <f t="shared" si="5"/>
        <v>4153.93</v>
      </c>
    </row>
    <row r="159" spans="1:10" ht="15.75" customHeight="1" x14ac:dyDescent="0.3">
      <c r="A159" s="7" t="s">
        <v>174</v>
      </c>
      <c r="B159" s="24">
        <v>45848</v>
      </c>
      <c r="C159" s="7" t="s">
        <v>9</v>
      </c>
      <c r="D159" s="7" t="s">
        <v>19</v>
      </c>
      <c r="E159" s="7">
        <v>4217.1099999999997</v>
      </c>
      <c r="F159" s="14" t="str">
        <f t="shared" si="4"/>
        <v>Jul</v>
      </c>
      <c r="G159" s="9" t="str">
        <f>IFERROR( _xlfn.XLOOKUP(D159, Product_Reference!$A$2:$A$7, Product_Reference!$B$2:$B$7, "Unknown Product"),"Check Reference")</f>
        <v>Keyboard</v>
      </c>
      <c r="H159" s="9" t="str">
        <f>IF(ISNA(VLOOKUP(D159, Product_Reference!$A$2:$D$7, 3, FALSE)),"Type Not Found",VLOOKUP(D159, Product_Reference!$A$2:$D$7, 3, FALSE))</f>
        <v>Accessories</v>
      </c>
      <c r="I159" s="9">
        <f>IFERROR(INDEX(Product_Reference!$D$2:$D$7, MATCH(D159, Product_Reference!$A$2:$A$7, 0)),"N/A")</f>
        <v>45</v>
      </c>
      <c r="J159" s="9">
        <f t="shared" si="5"/>
        <v>4172.1099999999997</v>
      </c>
    </row>
    <row r="160" spans="1:10" ht="15.75" customHeight="1" x14ac:dyDescent="0.3">
      <c r="A160" s="7" t="s">
        <v>175</v>
      </c>
      <c r="B160" s="24">
        <v>46020</v>
      </c>
      <c r="C160" s="7" t="s">
        <v>9</v>
      </c>
      <c r="D160" s="7" t="s">
        <v>25</v>
      </c>
      <c r="E160" s="7">
        <v>4158.92</v>
      </c>
      <c r="F160" s="14" t="str">
        <f t="shared" si="4"/>
        <v>Dec</v>
      </c>
      <c r="G160" s="9" t="str">
        <f>IFERROR( _xlfn.XLOOKUP(D160, Product_Reference!$A$2:$A$7, Product_Reference!$B$2:$B$7, "Unknown Product"),"Check Reference")</f>
        <v>Monitor</v>
      </c>
      <c r="H160" s="9" t="str">
        <f>IF(ISNA(VLOOKUP(D160, Product_Reference!$A$2:$D$7, 3, FALSE)),"Type Not Found",VLOOKUP(D160, Product_Reference!$A$2:$D$7, 3, FALSE))</f>
        <v>Hardware</v>
      </c>
      <c r="I160" s="9">
        <f>IFERROR(INDEX(Product_Reference!$D$2:$D$7, MATCH(D160, Product_Reference!$A$2:$A$7, 0)),"N/A")</f>
        <v>250</v>
      </c>
      <c r="J160" s="9">
        <f t="shared" si="5"/>
        <v>3908.92</v>
      </c>
    </row>
    <row r="161" spans="1:10" ht="15.75" customHeight="1" x14ac:dyDescent="0.3">
      <c r="A161" s="7" t="s">
        <v>176</v>
      </c>
      <c r="B161" s="24">
        <v>45754</v>
      </c>
      <c r="C161" s="7" t="s">
        <v>6</v>
      </c>
      <c r="D161" s="7" t="s">
        <v>19</v>
      </c>
      <c r="E161" s="7">
        <v>2460.2399999999998</v>
      </c>
      <c r="F161" s="14" t="str">
        <f t="shared" si="4"/>
        <v>Apr</v>
      </c>
      <c r="G161" s="9" t="str">
        <f>IFERROR( _xlfn.XLOOKUP(D161, Product_Reference!$A$2:$A$7, Product_Reference!$B$2:$B$7, "Unknown Product"),"Check Reference")</f>
        <v>Keyboard</v>
      </c>
      <c r="H161" s="9" t="str">
        <f>IF(ISNA(VLOOKUP(D161, Product_Reference!$A$2:$D$7, 3, FALSE)),"Type Not Found",VLOOKUP(D161, Product_Reference!$A$2:$D$7, 3, FALSE))</f>
        <v>Accessories</v>
      </c>
      <c r="I161" s="9">
        <f>IFERROR(INDEX(Product_Reference!$D$2:$D$7, MATCH(D161, Product_Reference!$A$2:$A$7, 0)),"N/A")</f>
        <v>45</v>
      </c>
      <c r="J161" s="9">
        <f t="shared" si="5"/>
        <v>2415.2399999999998</v>
      </c>
    </row>
    <row r="162" spans="1:10" ht="15.75" customHeight="1" x14ac:dyDescent="0.3">
      <c r="A162" s="7" t="s">
        <v>177</v>
      </c>
      <c r="B162" s="24">
        <v>45780</v>
      </c>
      <c r="C162" s="7" t="s">
        <v>6</v>
      </c>
      <c r="D162" s="7" t="s">
        <v>22</v>
      </c>
      <c r="E162" s="7">
        <v>4519.45</v>
      </c>
      <c r="F162" s="14" t="str">
        <f t="shared" si="4"/>
        <v>May</v>
      </c>
      <c r="G162" s="9" t="str">
        <f>IFERROR( _xlfn.XLOOKUP(D162, Product_Reference!$A$2:$A$7, Product_Reference!$B$2:$B$7, "Unknown Product"),"Check Reference")</f>
        <v>Office Suite</v>
      </c>
      <c r="H162" s="9" t="str">
        <f>IF(ISNA(VLOOKUP(D162, Product_Reference!$A$2:$D$7, 3, FALSE)),"Type Not Found",VLOOKUP(D162, Product_Reference!$A$2:$D$7, 3, FALSE))</f>
        <v>Software</v>
      </c>
      <c r="I162" s="9">
        <f>IFERROR(INDEX(Product_Reference!$D$2:$D$7, MATCH(D162, Product_Reference!$A$2:$A$7, 0)),"N/A")</f>
        <v>350</v>
      </c>
      <c r="J162" s="9">
        <f t="shared" si="5"/>
        <v>4169.45</v>
      </c>
    </row>
    <row r="163" spans="1:10" ht="15.75" customHeight="1" x14ac:dyDescent="0.3">
      <c r="A163" s="7" t="s">
        <v>178</v>
      </c>
      <c r="B163" s="24">
        <v>45893</v>
      </c>
      <c r="C163" s="7" t="s">
        <v>14</v>
      </c>
      <c r="D163" s="7" t="s">
        <v>25</v>
      </c>
      <c r="E163" s="7">
        <v>1251.6099999999999</v>
      </c>
      <c r="F163" s="14" t="str">
        <f t="shared" si="4"/>
        <v>Aug</v>
      </c>
      <c r="G163" s="9" t="str">
        <f>IFERROR( _xlfn.XLOOKUP(D163, Product_Reference!$A$2:$A$7, Product_Reference!$B$2:$B$7, "Unknown Product"),"Check Reference")</f>
        <v>Monitor</v>
      </c>
      <c r="H163" s="9" t="str">
        <f>IF(ISNA(VLOOKUP(D163, Product_Reference!$A$2:$D$7, 3, FALSE)),"Type Not Found",VLOOKUP(D163, Product_Reference!$A$2:$D$7, 3, FALSE))</f>
        <v>Hardware</v>
      </c>
      <c r="I163" s="9">
        <f>IFERROR(INDEX(Product_Reference!$D$2:$D$7, MATCH(D163, Product_Reference!$A$2:$A$7, 0)),"N/A")</f>
        <v>250</v>
      </c>
      <c r="J163" s="9">
        <f t="shared" si="5"/>
        <v>1001.6099999999999</v>
      </c>
    </row>
    <row r="164" spans="1:10" ht="15.75" customHeight="1" x14ac:dyDescent="0.3">
      <c r="A164" s="7" t="s">
        <v>179</v>
      </c>
      <c r="B164" s="24">
        <v>45843</v>
      </c>
      <c r="C164" s="7" t="s">
        <v>14</v>
      </c>
      <c r="D164" s="7" t="s">
        <v>12</v>
      </c>
      <c r="E164" s="7">
        <v>1557.21</v>
      </c>
      <c r="F164" s="14" t="str">
        <f t="shared" si="4"/>
        <v>Jul</v>
      </c>
      <c r="G164" s="9" t="str">
        <f>IFERROR( _xlfn.XLOOKUP(D164, Product_Reference!$A$2:$A$7, Product_Reference!$B$2:$B$7, "Unknown Product"),"Check Reference")</f>
        <v>Unknown Product</v>
      </c>
      <c r="H164" s="9" t="str">
        <f>IF(ISNA(VLOOKUP(D164, Product_Reference!$A$2:$D$7, 3, FALSE)),"Type Not Found",VLOOKUP(D164, Product_Reference!$A$2:$D$7, 3, FALSE))</f>
        <v>Type Not Found</v>
      </c>
      <c r="I164" s="9" t="str">
        <f>IFERROR(INDEX(Product_Reference!$D$2:$D$7, MATCH(D164, Product_Reference!$A$2:$A$7, 0)),"N/A")</f>
        <v>N/A</v>
      </c>
      <c r="J164" s="9" t="str">
        <f t="shared" si="5"/>
        <v>Cannot Calculate</v>
      </c>
    </row>
    <row r="165" spans="1:10" ht="15.75" customHeight="1" x14ac:dyDescent="0.3">
      <c r="A165" s="7" t="s">
        <v>180</v>
      </c>
      <c r="B165" s="24">
        <v>45809</v>
      </c>
      <c r="C165" s="7" t="s">
        <v>14</v>
      </c>
      <c r="D165" s="7" t="s">
        <v>12</v>
      </c>
      <c r="E165" s="7">
        <v>1736.05</v>
      </c>
      <c r="F165" s="14" t="str">
        <f t="shared" si="4"/>
        <v>Jun</v>
      </c>
      <c r="G165" s="9" t="str">
        <f>IFERROR( _xlfn.XLOOKUP(D165, Product_Reference!$A$2:$A$7, Product_Reference!$B$2:$B$7, "Unknown Product"),"Check Reference")</f>
        <v>Unknown Product</v>
      </c>
      <c r="H165" s="9" t="str">
        <f>IF(ISNA(VLOOKUP(D165, Product_Reference!$A$2:$D$7, 3, FALSE)),"Type Not Found",VLOOKUP(D165, Product_Reference!$A$2:$D$7, 3, FALSE))</f>
        <v>Type Not Found</v>
      </c>
      <c r="I165" s="9" t="str">
        <f>IFERROR(INDEX(Product_Reference!$D$2:$D$7, MATCH(D165, Product_Reference!$A$2:$A$7, 0)),"N/A")</f>
        <v>N/A</v>
      </c>
      <c r="J165" s="9" t="str">
        <f t="shared" si="5"/>
        <v>Cannot Calculate</v>
      </c>
    </row>
    <row r="166" spans="1:10" ht="15.75" customHeight="1" x14ac:dyDescent="0.3">
      <c r="A166" s="7" t="s">
        <v>181</v>
      </c>
      <c r="B166" s="24">
        <v>45684</v>
      </c>
      <c r="C166" s="7" t="s">
        <v>16</v>
      </c>
      <c r="D166" s="7" t="s">
        <v>7</v>
      </c>
      <c r="E166" s="7">
        <v>4394.17</v>
      </c>
      <c r="F166" s="14" t="str">
        <f t="shared" si="4"/>
        <v>Jan</v>
      </c>
      <c r="G166" s="9" t="str">
        <f>IFERROR( _xlfn.XLOOKUP(D166, Product_Reference!$A$2:$A$7, Product_Reference!$B$2:$B$7, "Unknown Product"),"Check Reference")</f>
        <v>Cloud Storage</v>
      </c>
      <c r="H166" s="9" t="str">
        <f>IF(ISNA(VLOOKUP(D166, Product_Reference!$A$2:$D$7, 3, FALSE)),"Type Not Found",VLOOKUP(D166, Product_Reference!$A$2:$D$7, 3, FALSE))</f>
        <v>Software</v>
      </c>
      <c r="I166" s="9">
        <f>IFERROR(INDEX(Product_Reference!$D$2:$D$7, MATCH(D166, Product_Reference!$A$2:$A$7, 0)),"N/A")</f>
        <v>50</v>
      </c>
      <c r="J166" s="9">
        <f t="shared" si="5"/>
        <v>4344.17</v>
      </c>
    </row>
    <row r="167" spans="1:10" ht="15.75" customHeight="1" x14ac:dyDescent="0.3">
      <c r="A167" s="7" t="s">
        <v>182</v>
      </c>
      <c r="B167" s="24">
        <v>45734</v>
      </c>
      <c r="C167" s="7" t="s">
        <v>16</v>
      </c>
      <c r="D167" s="7" t="s">
        <v>10</v>
      </c>
      <c r="E167" s="7">
        <v>1402.57</v>
      </c>
      <c r="F167" s="14" t="str">
        <f t="shared" si="4"/>
        <v>Mar</v>
      </c>
      <c r="G167" s="9" t="str">
        <f>IFERROR( _xlfn.XLOOKUP(D167, Product_Reference!$A$2:$A$7, Product_Reference!$B$2:$B$7, "Unknown Product"),"Check Reference")</f>
        <v>Desktop</v>
      </c>
      <c r="H167" s="9" t="str">
        <f>IF(ISNA(VLOOKUP(D167, Product_Reference!$A$2:$D$7, 3, FALSE)),"Type Not Found",VLOOKUP(D167, Product_Reference!$A$2:$D$7, 3, FALSE))</f>
        <v>Hardware</v>
      </c>
      <c r="I167" s="9">
        <f>IFERROR(INDEX(Product_Reference!$D$2:$D$7, MATCH(D167, Product_Reference!$A$2:$A$7, 0)),"N/A")</f>
        <v>800</v>
      </c>
      <c r="J167" s="9">
        <f t="shared" si="5"/>
        <v>602.56999999999994</v>
      </c>
    </row>
    <row r="168" spans="1:10" ht="15.75" customHeight="1" x14ac:dyDescent="0.3">
      <c r="A168" s="7" t="s">
        <v>183</v>
      </c>
      <c r="B168" s="24">
        <v>45724</v>
      </c>
      <c r="C168" s="7" t="s">
        <v>16</v>
      </c>
      <c r="D168" s="7" t="s">
        <v>12</v>
      </c>
      <c r="E168" s="7">
        <v>2425.04</v>
      </c>
      <c r="F168" s="14" t="str">
        <f t="shared" si="4"/>
        <v>Mar</v>
      </c>
      <c r="G168" s="9" t="str">
        <f>IFERROR( _xlfn.XLOOKUP(D168, Product_Reference!$A$2:$A$7, Product_Reference!$B$2:$B$7, "Unknown Product"),"Check Reference")</f>
        <v>Unknown Product</v>
      </c>
      <c r="H168" s="9" t="str">
        <f>IF(ISNA(VLOOKUP(D168, Product_Reference!$A$2:$D$7, 3, FALSE)),"Type Not Found",VLOOKUP(D168, Product_Reference!$A$2:$D$7, 3, FALSE))</f>
        <v>Type Not Found</v>
      </c>
      <c r="I168" s="9" t="str">
        <f>IFERROR(INDEX(Product_Reference!$D$2:$D$7, MATCH(D168, Product_Reference!$A$2:$A$7, 0)),"N/A")</f>
        <v>N/A</v>
      </c>
      <c r="J168" s="9" t="str">
        <f t="shared" si="5"/>
        <v>Cannot Calculate</v>
      </c>
    </row>
    <row r="169" spans="1:10" ht="15.75" customHeight="1" x14ac:dyDescent="0.3">
      <c r="A169" s="7" t="s">
        <v>184</v>
      </c>
      <c r="B169" s="24">
        <v>45890</v>
      </c>
      <c r="C169" s="7" t="s">
        <v>16</v>
      </c>
      <c r="D169" s="7" t="s">
        <v>12</v>
      </c>
      <c r="E169" s="7">
        <v>2857.49</v>
      </c>
      <c r="F169" s="14" t="str">
        <f t="shared" si="4"/>
        <v>Aug</v>
      </c>
      <c r="G169" s="9" t="str">
        <f>IFERROR( _xlfn.XLOOKUP(D169, Product_Reference!$A$2:$A$7, Product_Reference!$B$2:$B$7, "Unknown Product"),"Check Reference")</f>
        <v>Unknown Product</v>
      </c>
      <c r="H169" s="9" t="str">
        <f>IF(ISNA(VLOOKUP(D169, Product_Reference!$A$2:$D$7, 3, FALSE)),"Type Not Found",VLOOKUP(D169, Product_Reference!$A$2:$D$7, 3, FALSE))</f>
        <v>Type Not Found</v>
      </c>
      <c r="I169" s="9" t="str">
        <f>IFERROR(INDEX(Product_Reference!$D$2:$D$7, MATCH(D169, Product_Reference!$A$2:$A$7, 0)),"N/A")</f>
        <v>N/A</v>
      </c>
      <c r="J169" s="9" t="str">
        <f t="shared" si="5"/>
        <v>Cannot Calculate</v>
      </c>
    </row>
    <row r="170" spans="1:10" ht="15.75" customHeight="1" x14ac:dyDescent="0.3">
      <c r="A170" s="7" t="s">
        <v>185</v>
      </c>
      <c r="B170" s="24">
        <v>45712</v>
      </c>
      <c r="C170" s="7" t="s">
        <v>6</v>
      </c>
      <c r="D170" s="7" t="s">
        <v>22</v>
      </c>
      <c r="E170" s="7">
        <v>2387.98</v>
      </c>
      <c r="F170" s="14" t="str">
        <f t="shared" si="4"/>
        <v>Feb</v>
      </c>
      <c r="G170" s="9" t="str">
        <f>IFERROR( _xlfn.XLOOKUP(D170, Product_Reference!$A$2:$A$7, Product_Reference!$B$2:$B$7, "Unknown Product"),"Check Reference")</f>
        <v>Office Suite</v>
      </c>
      <c r="H170" s="9" t="str">
        <f>IF(ISNA(VLOOKUP(D170, Product_Reference!$A$2:$D$7, 3, FALSE)),"Type Not Found",VLOOKUP(D170, Product_Reference!$A$2:$D$7, 3, FALSE))</f>
        <v>Software</v>
      </c>
      <c r="I170" s="9">
        <f>IFERROR(INDEX(Product_Reference!$D$2:$D$7, MATCH(D170, Product_Reference!$A$2:$A$7, 0)),"N/A")</f>
        <v>350</v>
      </c>
      <c r="J170" s="9">
        <f t="shared" si="5"/>
        <v>2037.98</v>
      </c>
    </row>
    <row r="171" spans="1:10" ht="15.75" customHeight="1" x14ac:dyDescent="0.3">
      <c r="A171" s="7" t="s">
        <v>186</v>
      </c>
      <c r="B171" s="24">
        <v>45803</v>
      </c>
      <c r="C171" s="7" t="s">
        <v>6</v>
      </c>
      <c r="D171" s="7" t="s">
        <v>17</v>
      </c>
      <c r="E171" s="7">
        <v>3579.65</v>
      </c>
      <c r="F171" s="14" t="str">
        <f t="shared" si="4"/>
        <v>May</v>
      </c>
      <c r="G171" s="9" t="str">
        <f>IFERROR( _xlfn.XLOOKUP(D171, Product_Reference!$A$2:$A$7, Product_Reference!$B$2:$B$7, "Unknown Product"),"Check Reference")</f>
        <v>Laptop</v>
      </c>
      <c r="H171" s="9" t="str">
        <f>IF(ISNA(VLOOKUP(D171, Product_Reference!$A$2:$D$7, 3, FALSE)),"Type Not Found",VLOOKUP(D171, Product_Reference!$A$2:$D$7, 3, FALSE))</f>
        <v>Hardware</v>
      </c>
      <c r="I171" s="9">
        <f>IFERROR(INDEX(Product_Reference!$D$2:$D$7, MATCH(D171, Product_Reference!$A$2:$A$7, 0)),"N/A")</f>
        <v>1200</v>
      </c>
      <c r="J171" s="9">
        <f t="shared" si="5"/>
        <v>2379.65</v>
      </c>
    </row>
    <row r="172" spans="1:10" ht="15.75" customHeight="1" x14ac:dyDescent="0.3">
      <c r="A172" s="7" t="s">
        <v>187</v>
      </c>
      <c r="B172" s="24">
        <v>45851</v>
      </c>
      <c r="C172" s="7" t="s">
        <v>21</v>
      </c>
      <c r="D172" s="7" t="s">
        <v>7</v>
      </c>
      <c r="E172" s="7">
        <v>1941.43</v>
      </c>
      <c r="F172" s="14" t="str">
        <f t="shared" si="4"/>
        <v>Jul</v>
      </c>
      <c r="G172" s="9" t="str">
        <f>IFERROR( _xlfn.XLOOKUP(D172, Product_Reference!$A$2:$A$7, Product_Reference!$B$2:$B$7, "Unknown Product"),"Check Reference")</f>
        <v>Cloud Storage</v>
      </c>
      <c r="H172" s="9" t="str">
        <f>IF(ISNA(VLOOKUP(D172, Product_Reference!$A$2:$D$7, 3, FALSE)),"Type Not Found",VLOOKUP(D172, Product_Reference!$A$2:$D$7, 3, FALSE))</f>
        <v>Software</v>
      </c>
      <c r="I172" s="9">
        <f>IFERROR(INDEX(Product_Reference!$D$2:$D$7, MATCH(D172, Product_Reference!$A$2:$A$7, 0)),"N/A")</f>
        <v>50</v>
      </c>
      <c r="J172" s="9">
        <f t="shared" si="5"/>
        <v>1891.43</v>
      </c>
    </row>
    <row r="173" spans="1:10" ht="15.75" customHeight="1" x14ac:dyDescent="0.3">
      <c r="A173" s="7" t="s">
        <v>188</v>
      </c>
      <c r="B173" s="24">
        <v>45843</v>
      </c>
      <c r="C173" s="7" t="s">
        <v>14</v>
      </c>
      <c r="D173" s="7" t="s">
        <v>17</v>
      </c>
      <c r="E173" s="7">
        <v>3135.81</v>
      </c>
      <c r="F173" s="14" t="str">
        <f t="shared" si="4"/>
        <v>Jul</v>
      </c>
      <c r="G173" s="9" t="str">
        <f>IFERROR( _xlfn.XLOOKUP(D173, Product_Reference!$A$2:$A$7, Product_Reference!$B$2:$B$7, "Unknown Product"),"Check Reference")</f>
        <v>Laptop</v>
      </c>
      <c r="H173" s="9" t="str">
        <f>IF(ISNA(VLOOKUP(D173, Product_Reference!$A$2:$D$7, 3, FALSE)),"Type Not Found",VLOOKUP(D173, Product_Reference!$A$2:$D$7, 3, FALSE))</f>
        <v>Hardware</v>
      </c>
      <c r="I173" s="9">
        <f>IFERROR(INDEX(Product_Reference!$D$2:$D$7, MATCH(D173, Product_Reference!$A$2:$A$7, 0)),"N/A")</f>
        <v>1200</v>
      </c>
      <c r="J173" s="9">
        <f t="shared" si="5"/>
        <v>1935.81</v>
      </c>
    </row>
    <row r="174" spans="1:10" ht="15.75" customHeight="1" x14ac:dyDescent="0.3">
      <c r="A174" s="7" t="s">
        <v>189</v>
      </c>
      <c r="B174" s="24">
        <v>45916</v>
      </c>
      <c r="C174" s="7" t="s">
        <v>9</v>
      </c>
      <c r="D174" s="7" t="s">
        <v>19</v>
      </c>
      <c r="E174" s="7">
        <v>3791.48</v>
      </c>
      <c r="F174" s="14" t="str">
        <f t="shared" si="4"/>
        <v>Sep</v>
      </c>
      <c r="G174" s="9" t="str">
        <f>IFERROR( _xlfn.XLOOKUP(D174, Product_Reference!$A$2:$A$7, Product_Reference!$B$2:$B$7, "Unknown Product"),"Check Reference")</f>
        <v>Keyboard</v>
      </c>
      <c r="H174" s="9" t="str">
        <f>IF(ISNA(VLOOKUP(D174, Product_Reference!$A$2:$D$7, 3, FALSE)),"Type Not Found",VLOOKUP(D174, Product_Reference!$A$2:$D$7, 3, FALSE))</f>
        <v>Accessories</v>
      </c>
      <c r="I174" s="9">
        <f>IFERROR(INDEX(Product_Reference!$D$2:$D$7, MATCH(D174, Product_Reference!$A$2:$A$7, 0)),"N/A")</f>
        <v>45</v>
      </c>
      <c r="J174" s="9">
        <f t="shared" si="5"/>
        <v>3746.48</v>
      </c>
    </row>
    <row r="175" spans="1:10" ht="15.75" customHeight="1" x14ac:dyDescent="0.3">
      <c r="A175" s="7" t="s">
        <v>190</v>
      </c>
      <c r="B175" s="24">
        <v>45738</v>
      </c>
      <c r="C175" s="7" t="s">
        <v>6</v>
      </c>
      <c r="D175" s="7" t="s">
        <v>17</v>
      </c>
      <c r="E175" s="7">
        <v>4594.59</v>
      </c>
      <c r="F175" s="14" t="str">
        <f t="shared" si="4"/>
        <v>Mar</v>
      </c>
      <c r="G175" s="9" t="str">
        <f>IFERROR( _xlfn.XLOOKUP(D175, Product_Reference!$A$2:$A$7, Product_Reference!$B$2:$B$7, "Unknown Product"),"Check Reference")</f>
        <v>Laptop</v>
      </c>
      <c r="H175" s="9" t="str">
        <f>IF(ISNA(VLOOKUP(D175, Product_Reference!$A$2:$D$7, 3, FALSE)),"Type Not Found",VLOOKUP(D175, Product_Reference!$A$2:$D$7, 3, FALSE))</f>
        <v>Hardware</v>
      </c>
      <c r="I175" s="9">
        <f>IFERROR(INDEX(Product_Reference!$D$2:$D$7, MATCH(D175, Product_Reference!$A$2:$A$7, 0)),"N/A")</f>
        <v>1200</v>
      </c>
      <c r="J175" s="9">
        <f t="shared" si="5"/>
        <v>3394.59</v>
      </c>
    </row>
    <row r="176" spans="1:10" ht="15.75" customHeight="1" x14ac:dyDescent="0.3">
      <c r="A176" s="7" t="s">
        <v>191</v>
      </c>
      <c r="B176" s="24">
        <v>45708</v>
      </c>
      <c r="C176" s="7" t="s">
        <v>9</v>
      </c>
      <c r="D176" s="7" t="s">
        <v>19</v>
      </c>
      <c r="E176" s="7">
        <v>1360.35</v>
      </c>
      <c r="F176" s="14" t="str">
        <f t="shared" si="4"/>
        <v>Feb</v>
      </c>
      <c r="G176" s="9" t="str">
        <f>IFERROR( _xlfn.XLOOKUP(D176, Product_Reference!$A$2:$A$7, Product_Reference!$B$2:$B$7, "Unknown Product"),"Check Reference")</f>
        <v>Keyboard</v>
      </c>
      <c r="H176" s="9" t="str">
        <f>IF(ISNA(VLOOKUP(D176, Product_Reference!$A$2:$D$7, 3, FALSE)),"Type Not Found",VLOOKUP(D176, Product_Reference!$A$2:$D$7, 3, FALSE))</f>
        <v>Accessories</v>
      </c>
      <c r="I176" s="9">
        <f>IFERROR(INDEX(Product_Reference!$D$2:$D$7, MATCH(D176, Product_Reference!$A$2:$A$7, 0)),"N/A")</f>
        <v>45</v>
      </c>
      <c r="J176" s="9">
        <f t="shared" si="5"/>
        <v>1315.35</v>
      </c>
    </row>
    <row r="177" spans="1:10" ht="15.75" customHeight="1" x14ac:dyDescent="0.3">
      <c r="A177" s="7" t="s">
        <v>192</v>
      </c>
      <c r="B177" s="24">
        <v>45980</v>
      </c>
      <c r="C177" s="7" t="s">
        <v>9</v>
      </c>
      <c r="D177" s="7" t="s">
        <v>22</v>
      </c>
      <c r="E177" s="7">
        <v>600.53</v>
      </c>
      <c r="F177" s="14" t="str">
        <f t="shared" si="4"/>
        <v>Nov</v>
      </c>
      <c r="G177" s="9" t="str">
        <f>IFERROR( _xlfn.XLOOKUP(D177, Product_Reference!$A$2:$A$7, Product_Reference!$B$2:$B$7, "Unknown Product"),"Check Reference")</f>
        <v>Office Suite</v>
      </c>
      <c r="H177" s="9" t="str">
        <f>IF(ISNA(VLOOKUP(D177, Product_Reference!$A$2:$D$7, 3, FALSE)),"Type Not Found",VLOOKUP(D177, Product_Reference!$A$2:$D$7, 3, FALSE))</f>
        <v>Software</v>
      </c>
      <c r="I177" s="9">
        <f>IFERROR(INDEX(Product_Reference!$D$2:$D$7, MATCH(D177, Product_Reference!$A$2:$A$7, 0)),"N/A")</f>
        <v>350</v>
      </c>
      <c r="J177" s="9">
        <f t="shared" si="5"/>
        <v>250.52999999999997</v>
      </c>
    </row>
    <row r="178" spans="1:10" ht="15.75" customHeight="1" x14ac:dyDescent="0.3">
      <c r="A178" s="7" t="s">
        <v>193</v>
      </c>
      <c r="B178" s="24">
        <v>45746</v>
      </c>
      <c r="C178" s="7" t="s">
        <v>16</v>
      </c>
      <c r="D178" s="7" t="s">
        <v>10</v>
      </c>
      <c r="E178" s="7">
        <v>4989.55</v>
      </c>
      <c r="F178" s="14" t="str">
        <f t="shared" si="4"/>
        <v>Mar</v>
      </c>
      <c r="G178" s="9" t="str">
        <f>IFERROR( _xlfn.XLOOKUP(D178, Product_Reference!$A$2:$A$7, Product_Reference!$B$2:$B$7, "Unknown Product"),"Check Reference")</f>
        <v>Desktop</v>
      </c>
      <c r="H178" s="9" t="str">
        <f>IF(ISNA(VLOOKUP(D178, Product_Reference!$A$2:$D$7, 3, FALSE)),"Type Not Found",VLOOKUP(D178, Product_Reference!$A$2:$D$7, 3, FALSE))</f>
        <v>Hardware</v>
      </c>
      <c r="I178" s="9">
        <f>IFERROR(INDEX(Product_Reference!$D$2:$D$7, MATCH(D178, Product_Reference!$A$2:$A$7, 0)),"N/A")</f>
        <v>800</v>
      </c>
      <c r="J178" s="9">
        <f t="shared" si="5"/>
        <v>4189.55</v>
      </c>
    </row>
    <row r="179" spans="1:10" ht="15.75" customHeight="1" x14ac:dyDescent="0.3">
      <c r="A179" s="7" t="s">
        <v>194</v>
      </c>
      <c r="B179" s="24">
        <v>45737</v>
      </c>
      <c r="C179" s="7" t="s">
        <v>9</v>
      </c>
      <c r="D179" s="7" t="s">
        <v>17</v>
      </c>
      <c r="E179" s="7">
        <v>2531.96</v>
      </c>
      <c r="F179" s="14" t="str">
        <f t="shared" si="4"/>
        <v>Mar</v>
      </c>
      <c r="G179" s="9" t="str">
        <f>IFERROR( _xlfn.XLOOKUP(D179, Product_Reference!$A$2:$A$7, Product_Reference!$B$2:$B$7, "Unknown Product"),"Check Reference")</f>
        <v>Laptop</v>
      </c>
      <c r="H179" s="9" t="str">
        <f>IF(ISNA(VLOOKUP(D179, Product_Reference!$A$2:$D$7, 3, FALSE)),"Type Not Found",VLOOKUP(D179, Product_Reference!$A$2:$D$7, 3, FALSE))</f>
        <v>Hardware</v>
      </c>
      <c r="I179" s="9">
        <f>IFERROR(INDEX(Product_Reference!$D$2:$D$7, MATCH(D179, Product_Reference!$A$2:$A$7, 0)),"N/A")</f>
        <v>1200</v>
      </c>
      <c r="J179" s="9">
        <f t="shared" si="5"/>
        <v>1331.96</v>
      </c>
    </row>
    <row r="180" spans="1:10" ht="15.75" customHeight="1" x14ac:dyDescent="0.3">
      <c r="A180" s="7" t="s">
        <v>195</v>
      </c>
      <c r="B180" s="24">
        <v>46007</v>
      </c>
      <c r="C180" s="7" t="s">
        <v>16</v>
      </c>
      <c r="D180" s="7" t="s">
        <v>17</v>
      </c>
      <c r="E180" s="7">
        <v>4886.45</v>
      </c>
      <c r="F180" s="14" t="str">
        <f t="shared" si="4"/>
        <v>Dec</v>
      </c>
      <c r="G180" s="9" t="str">
        <f>IFERROR( _xlfn.XLOOKUP(D180, Product_Reference!$A$2:$A$7, Product_Reference!$B$2:$B$7, "Unknown Product"),"Check Reference")</f>
        <v>Laptop</v>
      </c>
      <c r="H180" s="9" t="str">
        <f>IF(ISNA(VLOOKUP(D180, Product_Reference!$A$2:$D$7, 3, FALSE)),"Type Not Found",VLOOKUP(D180, Product_Reference!$A$2:$D$7, 3, FALSE))</f>
        <v>Hardware</v>
      </c>
      <c r="I180" s="9">
        <f>IFERROR(INDEX(Product_Reference!$D$2:$D$7, MATCH(D180, Product_Reference!$A$2:$A$7, 0)),"N/A")</f>
        <v>1200</v>
      </c>
      <c r="J180" s="9">
        <f t="shared" si="5"/>
        <v>3686.45</v>
      </c>
    </row>
    <row r="181" spans="1:10" ht="15.75" customHeight="1" x14ac:dyDescent="0.3">
      <c r="A181" s="7" t="s">
        <v>196</v>
      </c>
      <c r="B181" s="24">
        <v>45664</v>
      </c>
      <c r="C181" s="7" t="s">
        <v>6</v>
      </c>
      <c r="D181" s="7" t="s">
        <v>17</v>
      </c>
      <c r="E181" s="7">
        <v>4709.03</v>
      </c>
      <c r="F181" s="14" t="str">
        <f t="shared" si="4"/>
        <v>Jan</v>
      </c>
      <c r="G181" s="9" t="str">
        <f>IFERROR( _xlfn.XLOOKUP(D181, Product_Reference!$A$2:$A$7, Product_Reference!$B$2:$B$7, "Unknown Product"),"Check Reference")</f>
        <v>Laptop</v>
      </c>
      <c r="H181" s="9" t="str">
        <f>IF(ISNA(VLOOKUP(D181, Product_Reference!$A$2:$D$7, 3, FALSE)),"Type Not Found",VLOOKUP(D181, Product_Reference!$A$2:$D$7, 3, FALSE))</f>
        <v>Hardware</v>
      </c>
      <c r="I181" s="9">
        <f>IFERROR(INDEX(Product_Reference!$D$2:$D$7, MATCH(D181, Product_Reference!$A$2:$A$7, 0)),"N/A")</f>
        <v>1200</v>
      </c>
      <c r="J181" s="9">
        <f t="shared" si="5"/>
        <v>3509.0299999999997</v>
      </c>
    </row>
    <row r="182" spans="1:10" ht="15.75" customHeight="1" x14ac:dyDescent="0.3">
      <c r="A182" s="7" t="s">
        <v>197</v>
      </c>
      <c r="B182" s="24">
        <v>46006</v>
      </c>
      <c r="C182" s="7" t="s">
        <v>14</v>
      </c>
      <c r="D182" s="7" t="s">
        <v>12</v>
      </c>
      <c r="E182" s="7">
        <v>2185.1799999999998</v>
      </c>
      <c r="F182" s="14" t="str">
        <f t="shared" si="4"/>
        <v>Dec</v>
      </c>
      <c r="G182" s="9" t="str">
        <f>IFERROR( _xlfn.XLOOKUP(D182, Product_Reference!$A$2:$A$7, Product_Reference!$B$2:$B$7, "Unknown Product"),"Check Reference")</f>
        <v>Unknown Product</v>
      </c>
      <c r="H182" s="9" t="str">
        <f>IF(ISNA(VLOOKUP(D182, Product_Reference!$A$2:$D$7, 3, FALSE)),"Type Not Found",VLOOKUP(D182, Product_Reference!$A$2:$D$7, 3, FALSE))</f>
        <v>Type Not Found</v>
      </c>
      <c r="I182" s="9" t="str">
        <f>IFERROR(INDEX(Product_Reference!$D$2:$D$7, MATCH(D182, Product_Reference!$A$2:$A$7, 0)),"N/A")</f>
        <v>N/A</v>
      </c>
      <c r="J182" s="9" t="str">
        <f t="shared" si="5"/>
        <v>Cannot Calculate</v>
      </c>
    </row>
    <row r="183" spans="1:10" ht="15.75" customHeight="1" x14ac:dyDescent="0.3">
      <c r="A183" s="7" t="s">
        <v>198</v>
      </c>
      <c r="B183" s="24">
        <v>45700</v>
      </c>
      <c r="C183" s="7" t="s">
        <v>6</v>
      </c>
      <c r="D183" s="7" t="s">
        <v>7</v>
      </c>
      <c r="E183" s="7">
        <v>2000.25</v>
      </c>
      <c r="F183" s="14" t="str">
        <f t="shared" si="4"/>
        <v>Feb</v>
      </c>
      <c r="G183" s="9" t="str">
        <f>IFERROR( _xlfn.XLOOKUP(D183, Product_Reference!$A$2:$A$7, Product_Reference!$B$2:$B$7, "Unknown Product"),"Check Reference")</f>
        <v>Cloud Storage</v>
      </c>
      <c r="H183" s="9" t="str">
        <f>IF(ISNA(VLOOKUP(D183, Product_Reference!$A$2:$D$7, 3, FALSE)),"Type Not Found",VLOOKUP(D183, Product_Reference!$A$2:$D$7, 3, FALSE))</f>
        <v>Software</v>
      </c>
      <c r="I183" s="9">
        <f>IFERROR(INDEX(Product_Reference!$D$2:$D$7, MATCH(D183, Product_Reference!$A$2:$A$7, 0)),"N/A")</f>
        <v>50</v>
      </c>
      <c r="J183" s="9">
        <f t="shared" si="5"/>
        <v>1950.25</v>
      </c>
    </row>
    <row r="184" spans="1:10" ht="15.75" customHeight="1" x14ac:dyDescent="0.3">
      <c r="A184" s="7" t="s">
        <v>199</v>
      </c>
      <c r="B184" s="24">
        <v>45680</v>
      </c>
      <c r="C184" s="7" t="s">
        <v>9</v>
      </c>
      <c r="D184" s="7" t="s">
        <v>19</v>
      </c>
      <c r="E184" s="7">
        <v>2274.34</v>
      </c>
      <c r="F184" s="14" t="str">
        <f t="shared" si="4"/>
        <v>Jan</v>
      </c>
      <c r="G184" s="9" t="str">
        <f>IFERROR( _xlfn.XLOOKUP(D184, Product_Reference!$A$2:$A$7, Product_Reference!$B$2:$B$7, "Unknown Product"),"Check Reference")</f>
        <v>Keyboard</v>
      </c>
      <c r="H184" s="9" t="str">
        <f>IF(ISNA(VLOOKUP(D184, Product_Reference!$A$2:$D$7, 3, FALSE)),"Type Not Found",VLOOKUP(D184, Product_Reference!$A$2:$D$7, 3, FALSE))</f>
        <v>Accessories</v>
      </c>
      <c r="I184" s="9">
        <f>IFERROR(INDEX(Product_Reference!$D$2:$D$7, MATCH(D184, Product_Reference!$A$2:$A$7, 0)),"N/A")</f>
        <v>45</v>
      </c>
      <c r="J184" s="9">
        <f t="shared" si="5"/>
        <v>2229.34</v>
      </c>
    </row>
    <row r="185" spans="1:10" ht="15.75" customHeight="1" x14ac:dyDescent="0.3">
      <c r="A185" s="7" t="s">
        <v>200</v>
      </c>
      <c r="B185" s="24">
        <v>45902</v>
      </c>
      <c r="C185" s="7" t="s">
        <v>21</v>
      </c>
      <c r="D185" s="7" t="s">
        <v>22</v>
      </c>
      <c r="E185" s="7">
        <v>2461.81</v>
      </c>
      <c r="F185" s="14" t="str">
        <f t="shared" si="4"/>
        <v>Sep</v>
      </c>
      <c r="G185" s="9" t="str">
        <f>IFERROR( _xlfn.XLOOKUP(D185, Product_Reference!$A$2:$A$7, Product_Reference!$B$2:$B$7, "Unknown Product"),"Check Reference")</f>
        <v>Office Suite</v>
      </c>
      <c r="H185" s="9" t="str">
        <f>IF(ISNA(VLOOKUP(D185, Product_Reference!$A$2:$D$7, 3, FALSE)),"Type Not Found",VLOOKUP(D185, Product_Reference!$A$2:$D$7, 3, FALSE))</f>
        <v>Software</v>
      </c>
      <c r="I185" s="9">
        <f>IFERROR(INDEX(Product_Reference!$D$2:$D$7, MATCH(D185, Product_Reference!$A$2:$A$7, 0)),"N/A")</f>
        <v>350</v>
      </c>
      <c r="J185" s="9">
        <f t="shared" si="5"/>
        <v>2111.81</v>
      </c>
    </row>
    <row r="186" spans="1:10" ht="15.75" customHeight="1" x14ac:dyDescent="0.3">
      <c r="A186" s="7" t="s">
        <v>201</v>
      </c>
      <c r="B186" s="24">
        <v>45755</v>
      </c>
      <c r="C186" s="7" t="s">
        <v>21</v>
      </c>
      <c r="D186" s="7" t="s">
        <v>12</v>
      </c>
      <c r="E186" s="7">
        <v>3174.99</v>
      </c>
      <c r="F186" s="14" t="str">
        <f t="shared" si="4"/>
        <v>Apr</v>
      </c>
      <c r="G186" s="9" t="str">
        <f>IFERROR( _xlfn.XLOOKUP(D186, Product_Reference!$A$2:$A$7, Product_Reference!$B$2:$B$7, "Unknown Product"),"Check Reference")</f>
        <v>Unknown Product</v>
      </c>
      <c r="H186" s="9" t="str">
        <f>IF(ISNA(VLOOKUP(D186, Product_Reference!$A$2:$D$7, 3, FALSE)),"Type Not Found",VLOOKUP(D186, Product_Reference!$A$2:$D$7, 3, FALSE))</f>
        <v>Type Not Found</v>
      </c>
      <c r="I186" s="9" t="str">
        <f>IFERROR(INDEX(Product_Reference!$D$2:$D$7, MATCH(D186, Product_Reference!$A$2:$A$7, 0)),"N/A")</f>
        <v>N/A</v>
      </c>
      <c r="J186" s="9" t="str">
        <f t="shared" si="5"/>
        <v>Cannot Calculate</v>
      </c>
    </row>
    <row r="187" spans="1:10" ht="15.75" customHeight="1" x14ac:dyDescent="0.3">
      <c r="A187" s="7" t="s">
        <v>202</v>
      </c>
      <c r="B187" s="24">
        <v>45768</v>
      </c>
      <c r="C187" s="7" t="s">
        <v>21</v>
      </c>
      <c r="D187" s="7" t="s">
        <v>12</v>
      </c>
      <c r="E187" s="7">
        <v>1388.6</v>
      </c>
      <c r="F187" s="14" t="str">
        <f t="shared" si="4"/>
        <v>Apr</v>
      </c>
      <c r="G187" s="9" t="str">
        <f>IFERROR( _xlfn.XLOOKUP(D187, Product_Reference!$A$2:$A$7, Product_Reference!$B$2:$B$7, "Unknown Product"),"Check Reference")</f>
        <v>Unknown Product</v>
      </c>
      <c r="H187" s="9" t="str">
        <f>IF(ISNA(VLOOKUP(D187, Product_Reference!$A$2:$D$7, 3, FALSE)),"Type Not Found",VLOOKUP(D187, Product_Reference!$A$2:$D$7, 3, FALSE))</f>
        <v>Type Not Found</v>
      </c>
      <c r="I187" s="9" t="str">
        <f>IFERROR(INDEX(Product_Reference!$D$2:$D$7, MATCH(D187, Product_Reference!$A$2:$A$7, 0)),"N/A")</f>
        <v>N/A</v>
      </c>
      <c r="J187" s="9" t="str">
        <f t="shared" si="5"/>
        <v>Cannot Calculate</v>
      </c>
    </row>
    <row r="188" spans="1:10" ht="15.75" customHeight="1" x14ac:dyDescent="0.3">
      <c r="A188" s="7" t="s">
        <v>203</v>
      </c>
      <c r="B188" s="24">
        <v>45729</v>
      </c>
      <c r="C188" s="7" t="s">
        <v>21</v>
      </c>
      <c r="D188" s="7" t="s">
        <v>19</v>
      </c>
      <c r="E188" s="7">
        <v>4931.8500000000004</v>
      </c>
      <c r="F188" s="14" t="str">
        <f t="shared" si="4"/>
        <v>Mar</v>
      </c>
      <c r="G188" s="9" t="str">
        <f>IFERROR( _xlfn.XLOOKUP(D188, Product_Reference!$A$2:$A$7, Product_Reference!$B$2:$B$7, "Unknown Product"),"Check Reference")</f>
        <v>Keyboard</v>
      </c>
      <c r="H188" s="9" t="str">
        <f>IF(ISNA(VLOOKUP(D188, Product_Reference!$A$2:$D$7, 3, FALSE)),"Type Not Found",VLOOKUP(D188, Product_Reference!$A$2:$D$7, 3, FALSE))</f>
        <v>Accessories</v>
      </c>
      <c r="I188" s="9">
        <f>IFERROR(INDEX(Product_Reference!$D$2:$D$7, MATCH(D188, Product_Reference!$A$2:$A$7, 0)),"N/A")</f>
        <v>45</v>
      </c>
      <c r="J188" s="9">
        <f t="shared" si="5"/>
        <v>4886.8500000000004</v>
      </c>
    </row>
    <row r="189" spans="1:10" ht="15.75" customHeight="1" x14ac:dyDescent="0.3">
      <c r="A189" s="7" t="s">
        <v>204</v>
      </c>
      <c r="B189" s="24">
        <v>45866</v>
      </c>
      <c r="C189" s="7" t="s">
        <v>9</v>
      </c>
      <c r="D189" s="7" t="s">
        <v>17</v>
      </c>
      <c r="E189" s="7">
        <v>303.22000000000003</v>
      </c>
      <c r="F189" s="14" t="str">
        <f t="shared" si="4"/>
        <v>Jul</v>
      </c>
      <c r="G189" s="9" t="str">
        <f>IFERROR( _xlfn.XLOOKUP(D189, Product_Reference!$A$2:$A$7, Product_Reference!$B$2:$B$7, "Unknown Product"),"Check Reference")</f>
        <v>Laptop</v>
      </c>
      <c r="H189" s="9" t="str">
        <f>IF(ISNA(VLOOKUP(D189, Product_Reference!$A$2:$D$7, 3, FALSE)),"Type Not Found",VLOOKUP(D189, Product_Reference!$A$2:$D$7, 3, FALSE))</f>
        <v>Hardware</v>
      </c>
      <c r="I189" s="9">
        <f>IFERROR(INDEX(Product_Reference!$D$2:$D$7, MATCH(D189, Product_Reference!$A$2:$A$7, 0)),"N/A")</f>
        <v>1200</v>
      </c>
      <c r="J189" s="9">
        <f t="shared" si="5"/>
        <v>-896.78</v>
      </c>
    </row>
    <row r="190" spans="1:10" ht="15.75" customHeight="1" x14ac:dyDescent="0.3">
      <c r="A190" s="7" t="s">
        <v>205</v>
      </c>
      <c r="B190" s="24">
        <v>45879</v>
      </c>
      <c r="C190" s="7" t="s">
        <v>6</v>
      </c>
      <c r="D190" s="7" t="s">
        <v>25</v>
      </c>
      <c r="E190" s="7">
        <v>724.69</v>
      </c>
      <c r="F190" s="14" t="str">
        <f t="shared" si="4"/>
        <v>Aug</v>
      </c>
      <c r="G190" s="9" t="str">
        <f>IFERROR( _xlfn.XLOOKUP(D190, Product_Reference!$A$2:$A$7, Product_Reference!$B$2:$B$7, "Unknown Product"),"Check Reference")</f>
        <v>Monitor</v>
      </c>
      <c r="H190" s="9" t="str">
        <f>IF(ISNA(VLOOKUP(D190, Product_Reference!$A$2:$D$7, 3, FALSE)),"Type Not Found",VLOOKUP(D190, Product_Reference!$A$2:$D$7, 3, FALSE))</f>
        <v>Hardware</v>
      </c>
      <c r="I190" s="9">
        <f>IFERROR(INDEX(Product_Reference!$D$2:$D$7, MATCH(D190, Product_Reference!$A$2:$A$7, 0)),"N/A")</f>
        <v>250</v>
      </c>
      <c r="J190" s="9">
        <f t="shared" si="5"/>
        <v>474.69000000000005</v>
      </c>
    </row>
    <row r="191" spans="1:10" ht="15.75" customHeight="1" x14ac:dyDescent="0.3">
      <c r="A191" s="7" t="s">
        <v>206</v>
      </c>
      <c r="B191" s="24">
        <v>45850</v>
      </c>
      <c r="C191" s="7" t="s">
        <v>14</v>
      </c>
      <c r="D191" s="7" t="s">
        <v>10</v>
      </c>
      <c r="E191" s="7">
        <v>3152.13</v>
      </c>
      <c r="F191" s="14" t="str">
        <f t="shared" si="4"/>
        <v>Jul</v>
      </c>
      <c r="G191" s="9" t="str">
        <f>IFERROR( _xlfn.XLOOKUP(D191, Product_Reference!$A$2:$A$7, Product_Reference!$B$2:$B$7, "Unknown Product"),"Check Reference")</f>
        <v>Desktop</v>
      </c>
      <c r="H191" s="9" t="str">
        <f>IF(ISNA(VLOOKUP(D191, Product_Reference!$A$2:$D$7, 3, FALSE)),"Type Not Found",VLOOKUP(D191, Product_Reference!$A$2:$D$7, 3, FALSE))</f>
        <v>Hardware</v>
      </c>
      <c r="I191" s="9">
        <f>IFERROR(INDEX(Product_Reference!$D$2:$D$7, MATCH(D191, Product_Reference!$A$2:$A$7, 0)),"N/A")</f>
        <v>800</v>
      </c>
      <c r="J191" s="9">
        <f t="shared" si="5"/>
        <v>2352.13</v>
      </c>
    </row>
    <row r="192" spans="1:10" ht="15.75" customHeight="1" x14ac:dyDescent="0.3">
      <c r="A192" s="7" t="s">
        <v>207</v>
      </c>
      <c r="B192" s="24">
        <v>46022</v>
      </c>
      <c r="C192" s="7" t="s">
        <v>21</v>
      </c>
      <c r="D192" s="7" t="s">
        <v>12</v>
      </c>
      <c r="E192" s="7">
        <v>4376.99</v>
      </c>
      <c r="F192" s="14" t="str">
        <f t="shared" si="4"/>
        <v>Dec</v>
      </c>
      <c r="G192" s="9" t="str">
        <f>IFERROR( _xlfn.XLOOKUP(D192, Product_Reference!$A$2:$A$7, Product_Reference!$B$2:$B$7, "Unknown Product"),"Check Reference")</f>
        <v>Unknown Product</v>
      </c>
      <c r="H192" s="9" t="str">
        <f>IF(ISNA(VLOOKUP(D192, Product_Reference!$A$2:$D$7, 3, FALSE)),"Type Not Found",VLOOKUP(D192, Product_Reference!$A$2:$D$7, 3, FALSE))</f>
        <v>Type Not Found</v>
      </c>
      <c r="I192" s="9" t="str">
        <f>IFERROR(INDEX(Product_Reference!$D$2:$D$7, MATCH(D192, Product_Reference!$A$2:$A$7, 0)),"N/A")</f>
        <v>N/A</v>
      </c>
      <c r="J192" s="9" t="str">
        <f t="shared" si="5"/>
        <v>Cannot Calculate</v>
      </c>
    </row>
    <row r="193" spans="1:10" ht="15.75" customHeight="1" x14ac:dyDescent="0.3">
      <c r="A193" s="7" t="s">
        <v>208</v>
      </c>
      <c r="B193" s="24">
        <v>45721</v>
      </c>
      <c r="C193" s="7" t="s">
        <v>14</v>
      </c>
      <c r="D193" s="7" t="s">
        <v>22</v>
      </c>
      <c r="E193" s="7">
        <v>4963.8</v>
      </c>
      <c r="F193" s="14" t="str">
        <f t="shared" si="4"/>
        <v>Mar</v>
      </c>
      <c r="G193" s="9" t="str">
        <f>IFERROR( _xlfn.XLOOKUP(D193, Product_Reference!$A$2:$A$7, Product_Reference!$B$2:$B$7, "Unknown Product"),"Check Reference")</f>
        <v>Office Suite</v>
      </c>
      <c r="H193" s="9" t="str">
        <f>IF(ISNA(VLOOKUP(D193, Product_Reference!$A$2:$D$7, 3, FALSE)),"Type Not Found",VLOOKUP(D193, Product_Reference!$A$2:$D$7, 3, FALSE))</f>
        <v>Software</v>
      </c>
      <c r="I193" s="9">
        <f>IFERROR(INDEX(Product_Reference!$D$2:$D$7, MATCH(D193, Product_Reference!$A$2:$A$7, 0)),"N/A")</f>
        <v>350</v>
      </c>
      <c r="J193" s="9">
        <f t="shared" si="5"/>
        <v>4613.8</v>
      </c>
    </row>
    <row r="194" spans="1:10" ht="15.75" customHeight="1" x14ac:dyDescent="0.3">
      <c r="A194" s="7" t="s">
        <v>209</v>
      </c>
      <c r="B194" s="24">
        <v>46017</v>
      </c>
      <c r="C194" s="7" t="s">
        <v>9</v>
      </c>
      <c r="D194" s="7" t="s">
        <v>19</v>
      </c>
      <c r="E194" s="7">
        <v>2532.66</v>
      </c>
      <c r="F194" s="14" t="str">
        <f t="shared" si="4"/>
        <v>Dec</v>
      </c>
      <c r="G194" s="9" t="str">
        <f>IFERROR( _xlfn.XLOOKUP(D194, Product_Reference!$A$2:$A$7, Product_Reference!$B$2:$B$7, "Unknown Product"),"Check Reference")</f>
        <v>Keyboard</v>
      </c>
      <c r="H194" s="9" t="str">
        <f>IF(ISNA(VLOOKUP(D194, Product_Reference!$A$2:$D$7, 3, FALSE)),"Type Not Found",VLOOKUP(D194, Product_Reference!$A$2:$D$7, 3, FALSE))</f>
        <v>Accessories</v>
      </c>
      <c r="I194" s="9">
        <f>IFERROR(INDEX(Product_Reference!$D$2:$D$7, MATCH(D194, Product_Reference!$A$2:$A$7, 0)),"N/A")</f>
        <v>45</v>
      </c>
      <c r="J194" s="9">
        <f t="shared" si="5"/>
        <v>2487.66</v>
      </c>
    </row>
    <row r="195" spans="1:10" ht="15.75" customHeight="1" x14ac:dyDescent="0.3">
      <c r="A195" s="7" t="s">
        <v>210</v>
      </c>
      <c r="B195" s="24">
        <v>45866</v>
      </c>
      <c r="C195" s="7" t="s">
        <v>9</v>
      </c>
      <c r="D195" s="7" t="s">
        <v>17</v>
      </c>
      <c r="E195" s="7">
        <v>4513.1400000000003</v>
      </c>
      <c r="F195" s="14" t="str">
        <f t="shared" ref="F195:F201" si="6">TEXT(B195, "mmm")</f>
        <v>Jul</v>
      </c>
      <c r="G195" s="9" t="str">
        <f>IFERROR( _xlfn.XLOOKUP(D195, Product_Reference!$A$2:$A$7, Product_Reference!$B$2:$B$7, "Unknown Product"),"Check Reference")</f>
        <v>Laptop</v>
      </c>
      <c r="H195" s="9" t="str">
        <f>IF(ISNA(VLOOKUP(D195, Product_Reference!$A$2:$D$7, 3, FALSE)),"Type Not Found",VLOOKUP(D195, Product_Reference!$A$2:$D$7, 3, FALSE))</f>
        <v>Hardware</v>
      </c>
      <c r="I195" s="9">
        <f>IFERROR(INDEX(Product_Reference!$D$2:$D$7, MATCH(D195, Product_Reference!$A$2:$A$7, 0)),"N/A")</f>
        <v>1200</v>
      </c>
      <c r="J195" s="9">
        <f t="shared" ref="J195:J201" si="7">IFERROR(E195-I195, "Cannot Calculate")</f>
        <v>3313.1400000000003</v>
      </c>
    </row>
    <row r="196" spans="1:10" ht="15.75" customHeight="1" x14ac:dyDescent="0.3">
      <c r="A196" s="7" t="s">
        <v>211</v>
      </c>
      <c r="B196" s="24">
        <v>45959</v>
      </c>
      <c r="C196" s="7" t="s">
        <v>16</v>
      </c>
      <c r="D196" s="7" t="s">
        <v>22</v>
      </c>
      <c r="E196" s="7">
        <v>3531.24</v>
      </c>
      <c r="F196" s="14" t="str">
        <f t="shared" si="6"/>
        <v>Oct</v>
      </c>
      <c r="G196" s="9" t="str">
        <f>IFERROR( _xlfn.XLOOKUP(D196, Product_Reference!$A$2:$A$7, Product_Reference!$B$2:$B$7, "Unknown Product"),"Check Reference")</f>
        <v>Office Suite</v>
      </c>
      <c r="H196" s="9" t="str">
        <f>IF(ISNA(VLOOKUP(D196, Product_Reference!$A$2:$D$7, 3, FALSE)),"Type Not Found",VLOOKUP(D196, Product_Reference!$A$2:$D$7, 3, FALSE))</f>
        <v>Software</v>
      </c>
      <c r="I196" s="9">
        <f>IFERROR(INDEX(Product_Reference!$D$2:$D$7, MATCH(D196, Product_Reference!$A$2:$A$7, 0)),"N/A")</f>
        <v>350</v>
      </c>
      <c r="J196" s="9">
        <f t="shared" si="7"/>
        <v>3181.24</v>
      </c>
    </row>
    <row r="197" spans="1:10" ht="15.75" customHeight="1" x14ac:dyDescent="0.3">
      <c r="A197" s="7" t="s">
        <v>212</v>
      </c>
      <c r="B197" s="24">
        <v>46017</v>
      </c>
      <c r="C197" s="7" t="s">
        <v>21</v>
      </c>
      <c r="D197" s="7" t="s">
        <v>22</v>
      </c>
      <c r="E197" s="7">
        <v>1069.03</v>
      </c>
      <c r="F197" s="14" t="str">
        <f t="shared" si="6"/>
        <v>Dec</v>
      </c>
      <c r="G197" s="9" t="str">
        <f>IFERROR( _xlfn.XLOOKUP(D197, Product_Reference!$A$2:$A$7, Product_Reference!$B$2:$B$7, "Unknown Product"),"Check Reference")</f>
        <v>Office Suite</v>
      </c>
      <c r="H197" s="9" t="str">
        <f>IF(ISNA(VLOOKUP(D197, Product_Reference!$A$2:$D$7, 3, FALSE)),"Type Not Found",VLOOKUP(D197, Product_Reference!$A$2:$D$7, 3, FALSE))</f>
        <v>Software</v>
      </c>
      <c r="I197" s="9">
        <f>IFERROR(INDEX(Product_Reference!$D$2:$D$7, MATCH(D197, Product_Reference!$A$2:$A$7, 0)),"N/A")</f>
        <v>350</v>
      </c>
      <c r="J197" s="9">
        <f t="shared" si="7"/>
        <v>719.03</v>
      </c>
    </row>
    <row r="198" spans="1:10" ht="15.75" customHeight="1" x14ac:dyDescent="0.3">
      <c r="A198" s="7" t="s">
        <v>213</v>
      </c>
      <c r="B198" s="24">
        <v>45761</v>
      </c>
      <c r="C198" s="7" t="s">
        <v>9</v>
      </c>
      <c r="D198" s="7" t="s">
        <v>22</v>
      </c>
      <c r="E198" s="7">
        <v>4631.91</v>
      </c>
      <c r="F198" s="14" t="str">
        <f t="shared" si="6"/>
        <v>Apr</v>
      </c>
      <c r="G198" s="9" t="str">
        <f>IFERROR( _xlfn.XLOOKUP(D198, Product_Reference!$A$2:$A$7, Product_Reference!$B$2:$B$7, "Unknown Product"),"Check Reference")</f>
        <v>Office Suite</v>
      </c>
      <c r="H198" s="9" t="str">
        <f>IF(ISNA(VLOOKUP(D198, Product_Reference!$A$2:$D$7, 3, FALSE)),"Type Not Found",VLOOKUP(D198, Product_Reference!$A$2:$D$7, 3, FALSE))</f>
        <v>Software</v>
      </c>
      <c r="I198" s="9">
        <f>IFERROR(INDEX(Product_Reference!$D$2:$D$7, MATCH(D198, Product_Reference!$A$2:$A$7, 0)),"N/A")</f>
        <v>350</v>
      </c>
      <c r="J198" s="9">
        <f t="shared" si="7"/>
        <v>4281.91</v>
      </c>
    </row>
    <row r="199" spans="1:10" ht="15.75" customHeight="1" x14ac:dyDescent="0.3">
      <c r="A199" s="7" t="s">
        <v>214</v>
      </c>
      <c r="B199" s="24">
        <v>45821</v>
      </c>
      <c r="C199" s="7" t="s">
        <v>14</v>
      </c>
      <c r="D199" s="7" t="s">
        <v>12</v>
      </c>
      <c r="E199" s="7">
        <v>544.35</v>
      </c>
      <c r="F199" s="14" t="str">
        <f t="shared" si="6"/>
        <v>Jun</v>
      </c>
      <c r="G199" s="9" t="str">
        <f>IFERROR( _xlfn.XLOOKUP(D199, Product_Reference!$A$2:$A$7, Product_Reference!$B$2:$B$7, "Unknown Product"),"Check Reference")</f>
        <v>Unknown Product</v>
      </c>
      <c r="H199" s="9" t="str">
        <f>IF(ISNA(VLOOKUP(D199, Product_Reference!$A$2:$D$7, 3, FALSE)),"Type Not Found",VLOOKUP(D199, Product_Reference!$A$2:$D$7, 3, FALSE))</f>
        <v>Type Not Found</v>
      </c>
      <c r="I199" s="9" t="str">
        <f>IFERROR(INDEX(Product_Reference!$D$2:$D$7, MATCH(D199, Product_Reference!$A$2:$A$7, 0)),"N/A")</f>
        <v>N/A</v>
      </c>
      <c r="J199" s="9" t="str">
        <f t="shared" si="7"/>
        <v>Cannot Calculate</v>
      </c>
    </row>
    <row r="200" spans="1:10" ht="15.75" customHeight="1" x14ac:dyDescent="0.3">
      <c r="A200" s="7" t="s">
        <v>215</v>
      </c>
      <c r="B200" s="24">
        <v>45683</v>
      </c>
      <c r="C200" s="7" t="s">
        <v>16</v>
      </c>
      <c r="D200" s="7" t="s">
        <v>12</v>
      </c>
      <c r="E200" s="7">
        <v>2159.9299999999998</v>
      </c>
      <c r="F200" s="14" t="str">
        <f t="shared" si="6"/>
        <v>Jan</v>
      </c>
      <c r="G200" s="9" t="str">
        <f>IFERROR( _xlfn.XLOOKUP(D200, Product_Reference!$A$2:$A$7, Product_Reference!$B$2:$B$7, "Unknown Product"),"Check Reference")</f>
        <v>Unknown Product</v>
      </c>
      <c r="H200" s="9" t="str">
        <f>IF(ISNA(VLOOKUP(D200, Product_Reference!$A$2:$D$7, 3, FALSE)),"Type Not Found",VLOOKUP(D200, Product_Reference!$A$2:$D$7, 3, FALSE))</f>
        <v>Type Not Found</v>
      </c>
      <c r="I200" s="9" t="str">
        <f>IFERROR(INDEX(Product_Reference!$D$2:$D$7, MATCH(D200, Product_Reference!$A$2:$A$7, 0)),"N/A")</f>
        <v>N/A</v>
      </c>
      <c r="J200" s="9" t="str">
        <f t="shared" si="7"/>
        <v>Cannot Calculate</v>
      </c>
    </row>
    <row r="201" spans="1:10" ht="15.75" customHeight="1" x14ac:dyDescent="0.3">
      <c r="A201" s="7" t="s">
        <v>216</v>
      </c>
      <c r="B201" s="24">
        <v>45881</v>
      </c>
      <c r="C201" s="7" t="s">
        <v>16</v>
      </c>
      <c r="D201" s="7" t="s">
        <v>17</v>
      </c>
      <c r="E201" s="7">
        <v>4014.48</v>
      </c>
      <c r="F201" s="14" t="str">
        <f t="shared" si="6"/>
        <v>Aug</v>
      </c>
      <c r="G201" s="9" t="str">
        <f>IFERROR( _xlfn.XLOOKUP(D201, Product_Reference!$A$2:$A$7, Product_Reference!$B$2:$B$7, "Unknown Product"),"Check Reference")</f>
        <v>Laptop</v>
      </c>
      <c r="H201" s="9" t="str">
        <f>IF(ISNA(VLOOKUP(D201, Product_Reference!$A$2:$D$7, 3, FALSE)),"Type Not Found",VLOOKUP(D201, Product_Reference!$A$2:$D$7, 3, FALSE))</f>
        <v>Hardware</v>
      </c>
      <c r="I201" s="9">
        <f>IFERROR(INDEX(Product_Reference!$D$2:$D$7, MATCH(D201, Product_Reference!$A$2:$A$7, 0)),"N/A")</f>
        <v>1200</v>
      </c>
      <c r="J201" s="9">
        <f t="shared" si="7"/>
        <v>2814.48</v>
      </c>
    </row>
    <row r="202" spans="1:10" ht="15.75" customHeight="1" x14ac:dyDescent="0.3"/>
    <row r="203" spans="1:10" ht="15.75" customHeight="1" x14ac:dyDescent="0.3"/>
    <row r="204" spans="1:10" ht="15.75" customHeight="1" x14ac:dyDescent="0.3"/>
    <row r="205" spans="1:10" ht="15.75" customHeight="1" x14ac:dyDescent="0.3"/>
    <row r="206" spans="1:10" ht="15.75" customHeight="1" x14ac:dyDescent="0.3"/>
    <row r="207" spans="1:10" ht="15.75" customHeight="1" x14ac:dyDescent="0.3"/>
    <row r="208" spans="1:10"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C13" sqref="C13"/>
    </sheetView>
  </sheetViews>
  <sheetFormatPr defaultColWidth="14.44140625" defaultRowHeight="15" customHeight="1" x14ac:dyDescent="0.3"/>
  <cols>
    <col min="1" max="1" width="10.44140625" bestFit="1" customWidth="1"/>
    <col min="2" max="2" width="13.77734375" bestFit="1" customWidth="1"/>
    <col min="3" max="3" width="12.77734375" bestFit="1" customWidth="1"/>
    <col min="4" max="4" width="10" bestFit="1" customWidth="1"/>
    <col min="5" max="26" width="8.6640625" customWidth="1"/>
  </cols>
  <sheetData>
    <row r="1" spans="1:4" ht="14.4" x14ac:dyDescent="0.3">
      <c r="A1" s="1" t="s">
        <v>3</v>
      </c>
      <c r="B1" s="1" t="s">
        <v>217</v>
      </c>
      <c r="C1" s="1" t="s">
        <v>218</v>
      </c>
      <c r="D1" s="1" t="s">
        <v>219</v>
      </c>
    </row>
    <row r="2" spans="1:4" ht="14.4" x14ac:dyDescent="0.3">
      <c r="A2" s="2" t="s">
        <v>17</v>
      </c>
      <c r="B2" s="2" t="s">
        <v>220</v>
      </c>
      <c r="C2" s="2" t="s">
        <v>221</v>
      </c>
      <c r="D2" s="2">
        <v>1200</v>
      </c>
    </row>
    <row r="3" spans="1:4" ht="14.4" x14ac:dyDescent="0.3">
      <c r="A3" s="2" t="s">
        <v>10</v>
      </c>
      <c r="B3" s="2" t="s">
        <v>222</v>
      </c>
      <c r="C3" s="2" t="s">
        <v>221</v>
      </c>
      <c r="D3" s="2">
        <v>800</v>
      </c>
    </row>
    <row r="4" spans="1:4" ht="14.4" x14ac:dyDescent="0.3">
      <c r="A4" s="2" t="s">
        <v>22</v>
      </c>
      <c r="B4" s="2" t="s">
        <v>223</v>
      </c>
      <c r="C4" s="2" t="s">
        <v>224</v>
      </c>
      <c r="D4" s="2">
        <v>350</v>
      </c>
    </row>
    <row r="5" spans="1:4" ht="14.4" x14ac:dyDescent="0.3">
      <c r="A5" s="2" t="s">
        <v>7</v>
      </c>
      <c r="B5" s="2" t="s">
        <v>225</v>
      </c>
      <c r="C5" s="2" t="s">
        <v>224</v>
      </c>
      <c r="D5" s="2">
        <v>50</v>
      </c>
    </row>
    <row r="6" spans="1:4" ht="14.4" x14ac:dyDescent="0.3">
      <c r="A6" s="2" t="s">
        <v>25</v>
      </c>
      <c r="B6" s="2" t="s">
        <v>226</v>
      </c>
      <c r="C6" s="2" t="s">
        <v>221</v>
      </c>
      <c r="D6" s="2">
        <v>250</v>
      </c>
    </row>
    <row r="7" spans="1:4" ht="14.4" x14ac:dyDescent="0.3">
      <c r="A7" s="2" t="s">
        <v>19</v>
      </c>
      <c r="B7" s="2" t="s">
        <v>227</v>
      </c>
      <c r="C7" s="2" t="s">
        <v>228</v>
      </c>
      <c r="D7" s="2">
        <v>45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E9D33-9CF4-40E0-B3E6-B26B0104543C}">
  <dimension ref="A1:C60"/>
  <sheetViews>
    <sheetView topLeftCell="A51" workbookViewId="0">
      <selection activeCell="C55" sqref="C55"/>
    </sheetView>
  </sheetViews>
  <sheetFormatPr defaultRowHeight="15.6" x14ac:dyDescent="0.3"/>
  <cols>
    <col min="1" max="1" width="18.77734375" style="17" bestFit="1" customWidth="1"/>
    <col min="2" max="2" width="35.44140625" style="17" bestFit="1" customWidth="1"/>
    <col min="3" max="3" width="23" style="17" bestFit="1" customWidth="1"/>
    <col min="4" max="16384" width="8.88671875" style="17"/>
  </cols>
  <sheetData>
    <row r="1" spans="1:2" ht="19.2" customHeight="1" x14ac:dyDescent="0.3">
      <c r="A1" s="15" t="s">
        <v>230</v>
      </c>
      <c r="B1" s="15"/>
    </row>
    <row r="2" spans="1:2" x14ac:dyDescent="0.3">
      <c r="A2" s="16" t="s">
        <v>2</v>
      </c>
      <c r="B2" s="17" t="s">
        <v>231</v>
      </c>
    </row>
    <row r="3" spans="1:2" x14ac:dyDescent="0.3">
      <c r="A3" s="16" t="s">
        <v>9</v>
      </c>
      <c r="B3" s="17">
        <f>SUMIFS(Sales_Transactions!E:E, Sales_Transactions!C:C, "North")</f>
        <v>98799.880000000019</v>
      </c>
    </row>
    <row r="4" spans="1:2" x14ac:dyDescent="0.3">
      <c r="A4" s="17" t="s">
        <v>16</v>
      </c>
      <c r="B4" s="17">
        <f>SUMIFS(Sales_Transactions!E:E, Sales_Transactions!C:C, "South")</f>
        <v>122811.4</v>
      </c>
    </row>
    <row r="5" spans="1:2" x14ac:dyDescent="0.3">
      <c r="A5" s="17" t="s">
        <v>21</v>
      </c>
      <c r="B5" s="17">
        <f>SUMIFS(Sales_Transactions!E:E, Sales_Transactions!C:C, "East")</f>
        <v>88729.04</v>
      </c>
    </row>
    <row r="6" spans="1:2" x14ac:dyDescent="0.3">
      <c r="A6" s="17" t="s">
        <v>6</v>
      </c>
      <c r="B6" s="17">
        <f>SUMIFS(Sales_Transactions!E:E, Sales_Transactions!C:C, "West")</f>
        <v>118542.52</v>
      </c>
    </row>
    <row r="7" spans="1:2" x14ac:dyDescent="0.3">
      <c r="A7" s="17" t="s">
        <v>14</v>
      </c>
      <c r="B7" s="17">
        <f>SUMIFS(Sales_Transactions!E:E, Sales_Transactions!C:C, "Central")</f>
        <v>77650.290000000008</v>
      </c>
    </row>
    <row r="9" spans="1:2" ht="21.6" customHeight="1" x14ac:dyDescent="0.3">
      <c r="A9" s="15" t="s">
        <v>232</v>
      </c>
      <c r="B9" s="15"/>
    </row>
    <row r="10" spans="1:2" ht="28.8" customHeight="1" x14ac:dyDescent="0.3">
      <c r="A10" s="18" t="s">
        <v>218</v>
      </c>
      <c r="B10" s="18" t="s">
        <v>233</v>
      </c>
    </row>
    <row r="11" spans="1:2" ht="28.8" customHeight="1" x14ac:dyDescent="0.3">
      <c r="A11" s="19" t="s">
        <v>221</v>
      </c>
      <c r="B11" s="19">
        <f>AVERAGEIFS(Sales_Transactions!E:E, Sales_Transactions!H:H, "Hardware")</f>
        <v>2626.3876829268302</v>
      </c>
    </row>
    <row r="12" spans="1:2" x14ac:dyDescent="0.3">
      <c r="A12" s="19" t="s">
        <v>224</v>
      </c>
      <c r="B12" s="19">
        <f>AVERAGEIFS(Sales_Transactions!E:E, Sales_Transactions!H:H, "Software")</f>
        <v>2511.2890740740731</v>
      </c>
    </row>
    <row r="13" spans="1:2" ht="28.8" customHeight="1" x14ac:dyDescent="0.3">
      <c r="A13" s="19" t="s">
        <v>228</v>
      </c>
      <c r="B13" s="19">
        <f>AVERAGEIFS(Sales_Transactions!E:E, Sales_Transactions!H:H, "Accessories")</f>
        <v>2731.287037037037</v>
      </c>
    </row>
    <row r="14" spans="1:2" x14ac:dyDescent="0.3">
      <c r="A14" s="19" t="s">
        <v>234</v>
      </c>
      <c r="B14" s="19">
        <f>AVERAGEIFS(Sales_Transactions!E:E, Sales_Transactions!H:H, "Type Not Found")</f>
        <v>2211.2156756756758</v>
      </c>
    </row>
    <row r="16" spans="1:2" ht="19.8" customHeight="1" x14ac:dyDescent="0.3">
      <c r="A16" s="15" t="s">
        <v>243</v>
      </c>
      <c r="B16" s="15"/>
    </row>
    <row r="18" spans="1:3" x14ac:dyDescent="0.3">
      <c r="A18" s="17" t="s">
        <v>235</v>
      </c>
      <c r="B18" s="17" t="s">
        <v>236</v>
      </c>
    </row>
    <row r="19" spans="1:3" x14ac:dyDescent="0.3">
      <c r="A19" s="17" t="s">
        <v>237</v>
      </c>
      <c r="B19" s="17">
        <f>COUNTIFS(Sales_Transactions!B:B, "&gt;=2025-01-01", Sales_Transactions!B:B, "&lt;=2025-03-31")</f>
        <v>58</v>
      </c>
    </row>
    <row r="20" spans="1:3" x14ac:dyDescent="0.3">
      <c r="A20" s="17" t="s">
        <v>238</v>
      </c>
      <c r="B20" s="17">
        <f>COUNTIFS(Sales_Transactions!B:B, "&gt;=2025-04-01", Sales_Transactions!B:B, "&lt;=2025-06-30")</f>
        <v>45</v>
      </c>
    </row>
    <row r="21" spans="1:3" x14ac:dyDescent="0.3">
      <c r="A21" s="17" t="s">
        <v>239</v>
      </c>
      <c r="B21" s="17">
        <f>COUNTIFS(Sales_Transactions!B:B, "&gt;=2025-07-01", Sales_Transactions!B:B, "&lt;=2025-09-30")</f>
        <v>46</v>
      </c>
    </row>
    <row r="22" spans="1:3" x14ac:dyDescent="0.3">
      <c r="A22" s="17" t="s">
        <v>240</v>
      </c>
      <c r="B22" s="17">
        <f>COUNTIFS(Sales_Transactions!B:B, "&gt;=2025-10-01", Sales_Transactions!B:B, "&lt;=2025-12-31")</f>
        <v>51</v>
      </c>
    </row>
    <row r="23" spans="1:3" ht="31.2" x14ac:dyDescent="0.3">
      <c r="A23" s="17" t="s">
        <v>241</v>
      </c>
      <c r="B23" s="17">
        <f>COUNTIFS(Sales_Transactions!E:E, "&gt;3000")</f>
        <v>83</v>
      </c>
    </row>
    <row r="24" spans="1:3" ht="31.2" x14ac:dyDescent="0.3">
      <c r="A24" s="17" t="s">
        <v>242</v>
      </c>
      <c r="B24" s="17">
        <f>COUNTIFS(Sales_Transactions!E:E, "&lt;1000")</f>
        <v>37</v>
      </c>
    </row>
    <row r="26" spans="1:3" ht="15.6" customHeight="1" x14ac:dyDescent="0.3">
      <c r="A26" s="15" t="s">
        <v>244</v>
      </c>
      <c r="B26" s="15"/>
      <c r="C26" s="15"/>
    </row>
    <row r="27" spans="1:3" ht="17.399999999999999" customHeight="1" x14ac:dyDescent="0.3">
      <c r="A27" s="15" t="s">
        <v>248</v>
      </c>
      <c r="B27" s="15"/>
      <c r="C27" s="15"/>
    </row>
    <row r="28" spans="1:3" ht="20.399999999999999" customHeight="1" x14ac:dyDescent="0.3">
      <c r="A28" s="20" t="s">
        <v>249</v>
      </c>
      <c r="B28" s="20"/>
      <c r="C28" s="20"/>
    </row>
    <row r="29" spans="1:3" ht="31.2" x14ac:dyDescent="0.3">
      <c r="A29" s="21" t="s">
        <v>3</v>
      </c>
      <c r="B29" s="21" t="s">
        <v>250</v>
      </c>
      <c r="C29" s="21" t="s">
        <v>251</v>
      </c>
    </row>
    <row r="30" spans="1:3" x14ac:dyDescent="0.3">
      <c r="A30" s="21" t="s">
        <v>17</v>
      </c>
      <c r="B30" s="21" t="str">
        <f>INDEX(Product_Reference!B:B, MATCH("P001", Product_Reference!A:A, 0))</f>
        <v>Laptop</v>
      </c>
      <c r="C30" s="21">
        <f>INDEX(Product_Reference!D:D, MATCH("P001", Product_Reference!A:A, 0))</f>
        <v>1200</v>
      </c>
    </row>
    <row r="31" spans="1:3" x14ac:dyDescent="0.3">
      <c r="A31" s="21" t="s">
        <v>10</v>
      </c>
      <c r="B31" s="21" t="str">
        <f>INDEX(Product_Reference!B:B, MATCH("P002", Product_Reference!A:A, 0))</f>
        <v>Desktop</v>
      </c>
      <c r="C31" s="21">
        <f>INDEX(Product_Reference!D:D, MATCH("P002", Product_Reference!A:A, 0))</f>
        <v>800</v>
      </c>
    </row>
    <row r="33" spans="1:3" ht="16.2" customHeight="1" x14ac:dyDescent="0.3">
      <c r="A33" s="15" t="s">
        <v>252</v>
      </c>
      <c r="B33" s="15"/>
      <c r="C33" s="15"/>
    </row>
    <row r="34" spans="1:3" ht="15.6" customHeight="1" x14ac:dyDescent="0.3">
      <c r="A34" s="20" t="s">
        <v>253</v>
      </c>
      <c r="B34" s="20"/>
      <c r="C34" s="20"/>
    </row>
    <row r="36" spans="1:3" ht="31.2" x14ac:dyDescent="0.3">
      <c r="A36" s="21" t="s">
        <v>3</v>
      </c>
      <c r="B36" s="21" t="s">
        <v>254</v>
      </c>
      <c r="C36" s="21" t="s">
        <v>255</v>
      </c>
    </row>
    <row r="37" spans="1:3" x14ac:dyDescent="0.3">
      <c r="A37" s="21" t="s">
        <v>22</v>
      </c>
      <c r="B37" s="21" t="str">
        <f>_xlfn.XLOOKUP("P003", Product_Reference!A:A, Product_Reference!B:B, "Not Found", 0, 1)</f>
        <v>Office Suite</v>
      </c>
      <c r="C37" s="21" t="str">
        <f>_xlfn.XLOOKUP("P003", Product_Reference!A:A, Product_Reference!C:C, "Not Found", 0, 1)</f>
        <v>Software</v>
      </c>
    </row>
    <row r="38" spans="1:3" x14ac:dyDescent="0.3">
      <c r="A38" s="21" t="s">
        <v>7</v>
      </c>
      <c r="B38" s="21" t="str">
        <f>_xlfn.XLOOKUP("P004", Product_Reference!A:A, Product_Reference!B:B, "Not Found", 0, 1)</f>
        <v>Cloud Storage</v>
      </c>
      <c r="C38" s="21" t="str">
        <f>_xlfn.XLOOKUP("P004", Product_Reference!A:A, Product_Reference!C:C, "Not Found", 0, 1)</f>
        <v>Software</v>
      </c>
    </row>
    <row r="40" spans="1:3" ht="18.600000000000001" customHeight="1" x14ac:dyDescent="0.3">
      <c r="A40" s="20" t="s">
        <v>256</v>
      </c>
      <c r="B40" s="20"/>
      <c r="C40" s="20"/>
    </row>
    <row r="41" spans="1:3" ht="16.2" customHeight="1" x14ac:dyDescent="0.3">
      <c r="A41" s="20" t="s">
        <v>315</v>
      </c>
      <c r="B41" s="20"/>
      <c r="C41" s="20"/>
    </row>
    <row r="42" spans="1:3" ht="17.399999999999999" customHeight="1" x14ac:dyDescent="0.3">
      <c r="A42" s="20" t="s">
        <v>316</v>
      </c>
      <c r="B42" s="20"/>
      <c r="C42" s="20"/>
    </row>
    <row r="44" spans="1:3" ht="18.600000000000001" customHeight="1" x14ac:dyDescent="0.3">
      <c r="A44" s="15" t="s">
        <v>245</v>
      </c>
      <c r="B44" s="15"/>
      <c r="C44" s="15"/>
    </row>
    <row r="45" spans="1:3" ht="30.6" customHeight="1" x14ac:dyDescent="0.3">
      <c r="A45" s="15" t="s">
        <v>246</v>
      </c>
      <c r="B45" s="15"/>
      <c r="C45" s="15"/>
    </row>
    <row r="46" spans="1:3" ht="15.6" customHeight="1" x14ac:dyDescent="0.3">
      <c r="A46" s="20" t="s">
        <v>257</v>
      </c>
      <c r="B46" s="20"/>
      <c r="C46" s="20"/>
    </row>
    <row r="47" spans="1:3" x14ac:dyDescent="0.3">
      <c r="A47" s="22" t="s">
        <v>258</v>
      </c>
      <c r="B47" s="22" t="s">
        <v>259</v>
      </c>
      <c r="C47" s="22" t="s">
        <v>260</v>
      </c>
    </row>
    <row r="48" spans="1:3" ht="31.2" x14ac:dyDescent="0.3">
      <c r="A48" s="22" t="s">
        <v>261</v>
      </c>
      <c r="B48" s="22">
        <f>SUMIFS(Sales_Transactions!E:E, Sales_Transactions!E:E, "&gt;4000")</f>
        <v>195347.39</v>
      </c>
      <c r="C48" s="22" t="s">
        <v>262</v>
      </c>
    </row>
    <row r="49" spans="1:3" ht="31.2" x14ac:dyDescent="0.3">
      <c r="A49" s="22" t="s">
        <v>263</v>
      </c>
      <c r="B49" s="22">
        <f>SUMIFS(Sales_Transactions!E:E, Sales_Transactions!E:E, "&gt;=1000", Sales_Transactions!E:E, "&lt;=4000")</f>
        <v>293924.09999999992</v>
      </c>
      <c r="C49" s="22" t="s">
        <v>264</v>
      </c>
    </row>
    <row r="50" spans="1:3" ht="31.2" x14ac:dyDescent="0.3">
      <c r="A50" s="22" t="s">
        <v>265</v>
      </c>
      <c r="B50" s="22">
        <f>SUMIFS(Sales_Transactions!E:E, Sales_Transactions!E:E, "&lt;1000")</f>
        <v>17261.640000000003</v>
      </c>
      <c r="C50" s="22" t="s">
        <v>266</v>
      </c>
    </row>
    <row r="51" spans="1:3" ht="46.8" x14ac:dyDescent="0.3">
      <c r="A51" s="22" t="s">
        <v>267</v>
      </c>
      <c r="B51" s="22">
        <f>COUNTIFS(Sales_Transactions!H:H, "Hardware", Sales_Transactions!E:E, "&gt;3000")</f>
        <v>39</v>
      </c>
      <c r="C51" s="22" t="s">
        <v>268</v>
      </c>
    </row>
    <row r="52" spans="1:3" ht="37.799999999999997" customHeight="1" x14ac:dyDescent="0.3">
      <c r="A52" s="15" t="s">
        <v>247</v>
      </c>
      <c r="B52" s="15"/>
      <c r="C52" s="16"/>
    </row>
    <row r="53" spans="1:3" x14ac:dyDescent="0.3">
      <c r="A53" s="22" t="s">
        <v>269</v>
      </c>
      <c r="B53" s="22" t="s">
        <v>231</v>
      </c>
      <c r="C53" s="22"/>
    </row>
    <row r="54" spans="1:3" x14ac:dyDescent="0.3">
      <c r="A54" s="22" t="s">
        <v>270</v>
      </c>
      <c r="B54" s="22">
        <f>SUMIFS(Sales_Transactions!E:E, Sales_Transactions!B:B, "&gt;=2025-01-01", Sales_Transactions!B:B, "&lt;=2025-06-30")</f>
        <v>271638.52999999991</v>
      </c>
      <c r="C54" s="22"/>
    </row>
    <row r="55" spans="1:3" ht="46.8" x14ac:dyDescent="0.3">
      <c r="A55" s="22" t="s">
        <v>271</v>
      </c>
      <c r="B55" s="22">
        <f>SUMIFS(Sales_Transactions!E:E, Sales_Transactions!B:B, "&gt;=2025-11-01", Sales_Transactions!B:B, "&lt;=2025-12-31")</f>
        <v>87841.73</v>
      </c>
      <c r="C55" s="22"/>
    </row>
    <row r="56" spans="1:3" x14ac:dyDescent="0.3">
      <c r="A56" s="22" t="s">
        <v>272</v>
      </c>
      <c r="B56" s="22">
        <f>SUMIFS(Sales_Transactions!E:E, Sales_Transactions!B:B, "&gt;=2025-01-01", Sales_Transactions!B:B, "&lt;=2025-03-31", Sales_Transactions!E:E, "&gt;2500")</f>
        <v>122315.28</v>
      </c>
      <c r="C56" s="22"/>
    </row>
    <row r="58" spans="1:3" x14ac:dyDescent="0.3">
      <c r="A58" s="16"/>
    </row>
    <row r="59" spans="1:3" x14ac:dyDescent="0.3">
      <c r="A59" s="16"/>
    </row>
    <row r="60" spans="1:3" x14ac:dyDescent="0.3">
      <c r="A60" s="23"/>
    </row>
  </sheetData>
  <mergeCells count="15">
    <mergeCell ref="A1:B1"/>
    <mergeCell ref="A33:C33"/>
    <mergeCell ref="A28:C28"/>
    <mergeCell ref="A27:C27"/>
    <mergeCell ref="A26:C26"/>
    <mergeCell ref="A16:B16"/>
    <mergeCell ref="A9:B9"/>
    <mergeCell ref="A41:C41"/>
    <mergeCell ref="A40:C40"/>
    <mergeCell ref="A34:C34"/>
    <mergeCell ref="A52:B52"/>
    <mergeCell ref="A46:C46"/>
    <mergeCell ref="A45:C45"/>
    <mergeCell ref="A44:C44"/>
    <mergeCell ref="A42:C42"/>
  </mergeCells>
  <pageMargins left="0.7" right="0.7" top="0.75" bottom="0.75" header="0.3" footer="0.3"/>
  <tableParts count="7">
    <tablePart r:id="rId1"/>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FE98-0A7B-48C9-B983-0DF1DF30E993}">
  <dimension ref="A1:M33"/>
  <sheetViews>
    <sheetView topLeftCell="E20" workbookViewId="0">
      <selection activeCell="M7" sqref="M7"/>
    </sheetView>
  </sheetViews>
  <sheetFormatPr defaultRowHeight="15.6" x14ac:dyDescent="0.3"/>
  <cols>
    <col min="1" max="1" width="31.6640625" style="7" bestFit="1" customWidth="1"/>
    <col min="2" max="2" width="12.109375" style="7" bestFit="1" customWidth="1"/>
    <col min="3" max="3" width="10.33203125" style="7" bestFit="1" customWidth="1"/>
    <col min="4" max="4" width="17.33203125" style="7" bestFit="1" customWidth="1"/>
    <col min="5" max="5" width="13.6640625" style="7" bestFit="1" customWidth="1"/>
    <col min="6" max="6" width="14" style="7" bestFit="1" customWidth="1"/>
    <col min="7" max="7" width="13.33203125" style="7" bestFit="1" customWidth="1"/>
    <col min="8" max="8" width="18.109375" style="7" bestFit="1" customWidth="1"/>
    <col min="9" max="9" width="8.77734375" style="7" bestFit="1" customWidth="1"/>
    <col min="10" max="10" width="14.21875" style="7" bestFit="1" customWidth="1"/>
    <col min="11" max="11" width="12.88671875" style="7" bestFit="1" customWidth="1"/>
    <col min="12" max="16384" width="8.88671875" style="7"/>
  </cols>
  <sheetData>
    <row r="1" spans="1:13" x14ac:dyDescent="0.3">
      <c r="A1" s="6" t="s">
        <v>273</v>
      </c>
      <c r="B1" s="6"/>
      <c r="C1" s="6"/>
      <c r="D1" s="6"/>
      <c r="E1" s="6"/>
      <c r="F1" s="6"/>
      <c r="J1" s="8" t="s">
        <v>312</v>
      </c>
      <c r="K1" s="7" t="s">
        <v>314</v>
      </c>
      <c r="M1" s="9"/>
    </row>
    <row r="2" spans="1:13" x14ac:dyDescent="0.3">
      <c r="A2" s="10" t="str">
        <f ca="1">TEXT(TODAY(), "mmmm d, yyyy") &amp; " | Last Updated"</f>
        <v>February 8, 2026 | Last Updated</v>
      </c>
      <c r="J2" s="11" t="s">
        <v>226</v>
      </c>
      <c r="K2" s="7">
        <v>59903.56</v>
      </c>
      <c r="M2" s="9"/>
    </row>
    <row r="3" spans="1:13" x14ac:dyDescent="0.3">
      <c r="J3" s="11" t="s">
        <v>313</v>
      </c>
      <c r="K3" s="7">
        <v>59903.56</v>
      </c>
      <c r="M3" s="12"/>
    </row>
    <row r="4" spans="1:13" x14ac:dyDescent="0.3">
      <c r="A4" s="13" t="s">
        <v>274</v>
      </c>
      <c r="D4" s="14" t="s">
        <v>280</v>
      </c>
      <c r="H4" s="14" t="s">
        <v>288</v>
      </c>
    </row>
    <row r="5" spans="1:13" x14ac:dyDescent="0.3">
      <c r="A5" s="14" t="s">
        <v>275</v>
      </c>
      <c r="B5" s="12">
        <f>IF($K$2="All Time", SUM(Sales_Transactions!E:E), IF($K$2="Q1", SUMIFS(Sales_Transactions!E:E, Sales_Transactions!B:B, "&gt;=2025-01-01", Sales_Transactions!B:B, "&lt;=2025-03-31"), IF($K$2="Q2", SUMIFS(Sales_Transactions!E:E, Sales_Transactions!B:B, "&gt;=2025-04-01", Sales_Transactions!B:B, "&lt;=2025-06-30"), IF($K$2="Q3", SUMIFS(Sales_Transactions!E:E, Sales_Transactions!B:B, "&gt;=2025-07-01", Sales_Transactions!B:B, "&lt;=2025-09-30"), IF($K$2="Q4", SUMIFS(Sales_Transactions!E:E, Sales_Transactions!B:B, "&gt;=2025-10-01", Sales_Transactions!B:B, "&lt;=2025-12-31"), 0)))))</f>
        <v>0</v>
      </c>
      <c r="D5" s="14" t="s">
        <v>2</v>
      </c>
      <c r="E5" s="14" t="s">
        <v>231</v>
      </c>
      <c r="F5" s="14" t="s">
        <v>281</v>
      </c>
      <c r="G5" s="14" t="s">
        <v>282</v>
      </c>
      <c r="H5" s="14" t="s">
        <v>289</v>
      </c>
      <c r="I5" s="14" t="s">
        <v>290</v>
      </c>
    </row>
    <row r="6" spans="1:13" x14ac:dyDescent="0.3">
      <c r="A6" s="14" t="s">
        <v>276</v>
      </c>
      <c r="B6" s="14">
        <f>AVERAGE(Sales_Transactions!E:E)</f>
        <v>2532.665649999999</v>
      </c>
      <c r="D6" s="14" t="s">
        <v>9</v>
      </c>
      <c r="E6" s="14">
        <f>SUMIFS(Sales_Transactions!E:E, Sales_Transactions!C:C, D6)</f>
        <v>98799.880000000019</v>
      </c>
      <c r="F6" s="14">
        <f>COUNTIFS(Sales_Transactions!C:C, D6)</f>
        <v>38</v>
      </c>
      <c r="G6" s="14">
        <f>IFERROR(E6/F6, 0)</f>
        <v>2599.9968421052636</v>
      </c>
      <c r="H6" s="14" t="s">
        <v>291</v>
      </c>
      <c r="I6" s="14">
        <f>COUNTIF(Sales_Transactions!G:G, "#N/A")</f>
        <v>0</v>
      </c>
      <c r="K6" s="12"/>
    </row>
    <row r="7" spans="1:13" x14ac:dyDescent="0.3">
      <c r="A7" s="14" t="s">
        <v>277</v>
      </c>
      <c r="B7" s="14">
        <f>COUNTA(Sales_Transactions!A:A)</f>
        <v>201</v>
      </c>
      <c r="D7" s="14" t="s">
        <v>16</v>
      </c>
      <c r="E7" s="14">
        <f>SUMIFS(Sales_Transactions!E:E, Sales_Transactions!C:C, D7)</f>
        <v>122811.4</v>
      </c>
      <c r="F7" s="14">
        <f>COUNTIFS(Sales_Transactions!C:C, D7)</f>
        <v>48</v>
      </c>
      <c r="G7" s="14">
        <f t="shared" ref="G7:G10" si="0">IFERROR(E7/F7, 0)</f>
        <v>2558.5708333333332</v>
      </c>
      <c r="H7" s="14" t="s">
        <v>292</v>
      </c>
      <c r="I7" s="14">
        <f>COUNTIF(Sales_Transactions!G:G,"Unknown Product")</f>
        <v>37</v>
      </c>
    </row>
    <row r="8" spans="1:13" x14ac:dyDescent="0.3">
      <c r="A8" s="14" t="s">
        <v>278</v>
      </c>
      <c r="B8" s="14">
        <f>COUNTIFS(Sales_Transactions!E:E, "&gt;3000")</f>
        <v>83</v>
      </c>
      <c r="D8" s="14" t="s">
        <v>21</v>
      </c>
      <c r="E8" s="14">
        <f>SUMIFS(Sales_Transactions!E:E, Sales_Transactions!C:C, D8)</f>
        <v>88729.04</v>
      </c>
      <c r="F8" s="14">
        <f>COUNTIFS(Sales_Transactions!C:C, D8)</f>
        <v>36</v>
      </c>
      <c r="G8" s="14">
        <f t="shared" si="0"/>
        <v>2464.6955555555555</v>
      </c>
      <c r="H8" s="14" t="s">
        <v>293</v>
      </c>
      <c r="I8" s="14">
        <f>COUNTA(Sales_Transactions!B:B)/COUNTA(Sales_Transactions!A:A)</f>
        <v>1</v>
      </c>
    </row>
    <row r="9" spans="1:13" x14ac:dyDescent="0.3">
      <c r="A9" s="14" t="s">
        <v>279</v>
      </c>
      <c r="B9" s="14">
        <f>COUNTIF(Sales_Transactions!D:D, "P999")</f>
        <v>37</v>
      </c>
      <c r="D9" s="14" t="s">
        <v>6</v>
      </c>
      <c r="E9" s="14">
        <f>SUMIFS(Sales_Transactions!E:E, Sales_Transactions!C:C, D9)</f>
        <v>118542.52</v>
      </c>
      <c r="F9" s="14">
        <f>COUNTIFS(Sales_Transactions!C:C, D9)</f>
        <v>43</v>
      </c>
      <c r="G9" s="14">
        <f t="shared" si="0"/>
        <v>2756.8027906976745</v>
      </c>
      <c r="H9" s="14" t="s">
        <v>294</v>
      </c>
      <c r="I9" s="14">
        <f>COUNTBLANK(Sales_Transactions!E:E)</f>
        <v>1048375</v>
      </c>
    </row>
    <row r="10" spans="1:13" x14ac:dyDescent="0.3">
      <c r="D10" s="14" t="s">
        <v>14</v>
      </c>
      <c r="E10" s="14">
        <f>SUMIFS(Sales_Transactions!E:E, Sales_Transactions!C:C, D10)</f>
        <v>77650.290000000008</v>
      </c>
      <c r="F10" s="14">
        <f>COUNTIFS(Sales_Transactions!C:C, D10)</f>
        <v>35</v>
      </c>
      <c r="G10" s="14">
        <f t="shared" si="0"/>
        <v>2218.5797142857145</v>
      </c>
    </row>
    <row r="12" spans="1:13" x14ac:dyDescent="0.3">
      <c r="A12" s="13" t="s">
        <v>283</v>
      </c>
    </row>
    <row r="13" spans="1:13" x14ac:dyDescent="0.3">
      <c r="A13" s="14" t="s">
        <v>284</v>
      </c>
      <c r="B13" s="14" t="s">
        <v>231</v>
      </c>
      <c r="C13" s="14" t="s">
        <v>285</v>
      </c>
      <c r="D13" s="14" t="s">
        <v>286</v>
      </c>
      <c r="E13" s="14" t="s">
        <v>287</v>
      </c>
    </row>
    <row r="14" spans="1:13" x14ac:dyDescent="0.3">
      <c r="A14" s="14" t="s">
        <v>221</v>
      </c>
      <c r="B14" s="14">
        <f>SUMIFS(Sales_Transactions!E:E, Sales_Transactions!H:H, A14)</f>
        <v>215363.79000000007</v>
      </c>
      <c r="C14" s="14">
        <f>COUNTIFS(Sales_Transactions!H:H, A14)</f>
        <v>82</v>
      </c>
      <c r="D14" s="14">
        <f>IFERROR(B14/C14, 0)</f>
        <v>2626.3876829268302</v>
      </c>
      <c r="E14" s="14">
        <f>COUNTIFS(Sales_Transactions!H:H, A14, Sales_Transactions!E:E, "&gt;3000")/C14</f>
        <v>0.47560975609756095</v>
      </c>
    </row>
    <row r="15" spans="1:13" x14ac:dyDescent="0.3">
      <c r="A15" s="14" t="s">
        <v>224</v>
      </c>
      <c r="B15" s="14">
        <f>SUMIFS(Sales_Transactions!E:E, Sales_Transactions!H:H, A15)</f>
        <v>135609.60999999996</v>
      </c>
      <c r="C15" s="14">
        <f>COUNTIFS(Sales_Transactions!H:H, A15)</f>
        <v>54</v>
      </c>
      <c r="D15" s="14">
        <f t="shared" ref="D15:D17" si="1">IFERROR(B15/C15, 0)</f>
        <v>2511.2890740740731</v>
      </c>
      <c r="E15" s="14">
        <f>COUNTIFS(Sales_Transactions!H:H, A15, Sales_Transactions!E:E, "&gt;3000")/C15</f>
        <v>0.40740740740740738</v>
      </c>
    </row>
    <row r="16" spans="1:13" x14ac:dyDescent="0.3">
      <c r="A16" s="14" t="s">
        <v>228</v>
      </c>
      <c r="B16" s="14">
        <f>SUMIFS(Sales_Transactions!E:E, Sales_Transactions!H:H, A16)</f>
        <v>73744.75</v>
      </c>
      <c r="C16" s="14">
        <f>COUNTIFS(Sales_Transactions!H:H, A16)</f>
        <v>27</v>
      </c>
      <c r="D16" s="14">
        <f t="shared" si="1"/>
        <v>2731.287037037037</v>
      </c>
      <c r="E16" s="14">
        <f>COUNTIFS(Sales_Transactions!H:H, A16, Sales_Transactions!E:E, "&gt;3000")/C16</f>
        <v>0.44444444444444442</v>
      </c>
    </row>
    <row r="17" spans="1:5" x14ac:dyDescent="0.3">
      <c r="A17" s="14" t="s">
        <v>234</v>
      </c>
      <c r="B17" s="14">
        <f>SUMIFS(Sales_Transactions!E:E, Sales_Transactions!H:H, A17)</f>
        <v>0</v>
      </c>
      <c r="C17" s="14">
        <f>COUNTIFS(Sales_Transactions!H:H, A17)</f>
        <v>0</v>
      </c>
      <c r="D17" s="14">
        <f t="shared" si="1"/>
        <v>0</v>
      </c>
      <c r="E17" s="14" t="e">
        <f>COUNTIFS(Sales_Transactions!H:H, A17, Sales_Transactions!E:E, "&gt;3000")/C17</f>
        <v>#DIV/0!</v>
      </c>
    </row>
    <row r="20" spans="1:5" x14ac:dyDescent="0.3">
      <c r="A20" s="13" t="s">
        <v>296</v>
      </c>
      <c r="D20" s="13" t="s">
        <v>310</v>
      </c>
    </row>
    <row r="21" spans="1:5" x14ac:dyDescent="0.3">
      <c r="A21" s="14" t="s">
        <v>295</v>
      </c>
      <c r="B21" s="14" t="s">
        <v>297</v>
      </c>
      <c r="D21" s="14" t="s">
        <v>311</v>
      </c>
      <c r="E21" s="14" t="s">
        <v>297</v>
      </c>
    </row>
    <row r="22" spans="1:5" x14ac:dyDescent="0.3">
      <c r="A22" s="14" t="s">
        <v>298</v>
      </c>
      <c r="B22" s="14">
        <f>SUMIFS(Sales_Transactions!E:E, Sales_Transactions!F:F, A22)</f>
        <v>52371.23</v>
      </c>
      <c r="D22" s="14" t="str">
        <f>INDEX(Product_Reference!B:B, 2)</f>
        <v>Laptop</v>
      </c>
      <c r="E22" s="14">
        <f>SUMIFS(Sales_Transactions!E:E, Sales_Transactions!D:D, "P001")</f>
        <v>83855.099999999991</v>
      </c>
    </row>
    <row r="23" spans="1:5" x14ac:dyDescent="0.3">
      <c r="A23" s="14" t="s">
        <v>299</v>
      </c>
      <c r="B23" s="14">
        <f>SUMIFS(Sales_Transactions!E:E, Sales_Transactions!F:F, A23)</f>
        <v>41053.71</v>
      </c>
      <c r="D23" s="7" t="str">
        <f>INDEX(Product_Reference!B:B, 3)</f>
        <v>Desktop</v>
      </c>
      <c r="E23" s="7">
        <f>SUMIFS(Sales_Transactions!E:E, Sales_Transactions!D:D, "P002")</f>
        <v>71605.13</v>
      </c>
    </row>
    <row r="24" spans="1:5" x14ac:dyDescent="0.3">
      <c r="A24" s="14" t="s">
        <v>300</v>
      </c>
      <c r="B24" s="14">
        <f>SUMIFS(Sales_Transactions!E:E, Sales_Transactions!F:F, A24)</f>
        <v>63666.19</v>
      </c>
      <c r="D24" s="14" t="str">
        <f>INDEX(Product_Reference!B:B, 4)</f>
        <v>Office Suite</v>
      </c>
      <c r="E24" s="7">
        <f>SUMIFS(Sales_Transactions!E:E, Sales_Transactions!D:D, "P003")</f>
        <v>78390.75</v>
      </c>
    </row>
    <row r="25" spans="1:5" x14ac:dyDescent="0.3">
      <c r="A25" s="14" t="s">
        <v>301</v>
      </c>
      <c r="B25" s="14">
        <f>SUMIFS(Sales_Transactions!E:E, Sales_Transactions!F:F, A25)</f>
        <v>43762.569999999992</v>
      </c>
      <c r="D25" s="7" t="str">
        <f>INDEX(Product_Reference!B:B, 5)</f>
        <v>Cloud Storage</v>
      </c>
      <c r="E25" s="7">
        <f>SUMIFS(Sales_Transactions!E:E, Sales_Transactions!D:D, "P004")</f>
        <v>57218.86</v>
      </c>
    </row>
    <row r="26" spans="1:5" x14ac:dyDescent="0.3">
      <c r="A26" s="14" t="s">
        <v>302</v>
      </c>
      <c r="B26" s="14">
        <f>SUMIFS(Sales_Transactions!E:E, Sales_Transactions!F:F, A26)</f>
        <v>50120.369999999995</v>
      </c>
      <c r="D26" s="7" t="str">
        <f>INDEX(Product_Reference!B:B, 6)</f>
        <v>Monitor</v>
      </c>
      <c r="E26" s="7">
        <f>SUMIFS(Sales_Transactions!E:E, Sales_Transactions!D:D, "P005")</f>
        <v>59903.56</v>
      </c>
    </row>
    <row r="27" spans="1:5" x14ac:dyDescent="0.3">
      <c r="A27" s="14" t="s">
        <v>303</v>
      </c>
      <c r="B27" s="14">
        <f>SUMIFS(Sales_Transactions!E:E, Sales_Transactions!F:F, A27)</f>
        <v>20664.46</v>
      </c>
      <c r="D27" s="7" t="str">
        <f>INDEX(Product_Reference!B:B, 7)</f>
        <v>Keyboard</v>
      </c>
      <c r="E27" s="7">
        <f>SUMIFS(Sales_Transactions!E:E, Sales_Transactions!D:D, "P006")</f>
        <v>73744.75</v>
      </c>
    </row>
    <row r="28" spans="1:5" x14ac:dyDescent="0.3">
      <c r="A28" s="14" t="s">
        <v>304</v>
      </c>
      <c r="B28" s="14">
        <f>SUMIFS(Sales_Transactions!E:E, Sales_Transactions!F:F, A28)</f>
        <v>38662.089999999997</v>
      </c>
    </row>
    <row r="29" spans="1:5" x14ac:dyDescent="0.3">
      <c r="A29" s="14" t="s">
        <v>305</v>
      </c>
      <c r="B29" s="14">
        <f>SUMIFS(Sales_Transactions!E:E, Sales_Transactions!F:F, A29)</f>
        <v>34289.469999999994</v>
      </c>
    </row>
    <row r="30" spans="1:5" x14ac:dyDescent="0.3">
      <c r="A30" s="14" t="s">
        <v>306</v>
      </c>
      <c r="B30" s="14">
        <f>SUMIFS(Sales_Transactions!E:E, Sales_Transactions!F:F, A30)</f>
        <v>29631.190000000002</v>
      </c>
    </row>
    <row r="31" spans="1:5" x14ac:dyDescent="0.3">
      <c r="A31" s="14" t="s">
        <v>307</v>
      </c>
      <c r="B31" s="14">
        <f>SUMIFS(Sales_Transactions!E:E, Sales_Transactions!F:F, A31)</f>
        <v>44470.12</v>
      </c>
    </row>
    <row r="32" spans="1:5" x14ac:dyDescent="0.3">
      <c r="A32" s="14" t="s">
        <v>308</v>
      </c>
      <c r="B32" s="14">
        <f>SUMIFS(Sales_Transactions!E:E, Sales_Transactions!F:F, A32)</f>
        <v>30185.16</v>
      </c>
    </row>
    <row r="33" spans="1:2" x14ac:dyDescent="0.3">
      <c r="A33" s="14" t="s">
        <v>309</v>
      </c>
      <c r="B33" s="14">
        <f>SUMIFS(Sales_Transactions!E:E, Sales_Transactions!F:F, A33)</f>
        <v>57656.569999999992</v>
      </c>
    </row>
  </sheetData>
  <mergeCells count="1">
    <mergeCell ref="A1:F1"/>
  </mergeCells>
  <phoneticPr fontId="6" type="noConversion"/>
  <conditionalFormatting sqref="B9">
    <cfRule type="cellIs" dxfId="67" priority="5" operator="greaterThan">
      <formula>0</formula>
    </cfRule>
  </conditionalFormatting>
  <conditionalFormatting sqref="I6:I7">
    <cfRule type="cellIs" dxfId="66" priority="4" operator="greaterThan">
      <formula>0</formula>
    </cfRule>
  </conditionalFormatting>
  <conditionalFormatting sqref="I8">
    <cfRule type="cellIs" dxfId="65" priority="1" operator="lessThan">
      <formula>1</formula>
    </cfRule>
    <cfRule type="cellIs" dxfId="64" priority="3" operator="lessThan">
      <formula>1</formula>
    </cfRule>
  </conditionalFormatting>
  <conditionalFormatting sqref="I9">
    <cfRule type="cellIs" dxfId="63" priority="2" operator="greater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Sales_Transactions</vt:lpstr>
      <vt:lpstr>Product_Reference</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Etienne TUYISHIMIRE</cp:lastModifiedBy>
  <dcterms:modified xsi:type="dcterms:W3CDTF">2026-02-08T12:51:41Z</dcterms:modified>
</cp:coreProperties>
</file>