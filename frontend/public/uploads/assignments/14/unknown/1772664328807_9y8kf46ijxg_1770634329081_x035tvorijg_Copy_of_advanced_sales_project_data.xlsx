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les_Transactions" sheetId="1" r:id="rId5"/>
    <sheet state="visible" name="Product_Reference" sheetId="2" r:id="rId6"/>
  </sheets>
  <definedNames/>
  <calcPr/>
</workbook>
</file>

<file path=xl/sharedStrings.xml><?xml version="1.0" encoding="utf-8"?>
<sst xmlns="http://schemas.openxmlformats.org/spreadsheetml/2006/main" count="640" uniqueCount="232">
  <si>
    <t>Transaction_ID</t>
  </si>
  <si>
    <t>Date</t>
  </si>
  <si>
    <t>Region</t>
  </si>
  <si>
    <t>Product_ID</t>
  </si>
  <si>
    <t>Value</t>
  </si>
  <si>
    <t>TXN-2000</t>
  </si>
  <si>
    <t>West</t>
  </si>
  <si>
    <t>P004</t>
  </si>
  <si>
    <t xml:space="preserve"> REGION</t>
  </si>
  <si>
    <t>TOTAL SALES(SUMIF)</t>
  </si>
  <si>
    <t>NUMBER OF TRANSACTION(Countif)</t>
  </si>
  <si>
    <t>TXN-2001</t>
  </si>
  <si>
    <t>North</t>
  </si>
  <si>
    <t>P002</t>
  </si>
  <si>
    <t>TXN-2002</t>
  </si>
  <si>
    <t>P999</t>
  </si>
  <si>
    <t>TXN-2003</t>
  </si>
  <si>
    <t>Central</t>
  </si>
  <si>
    <t>TXN-2004</t>
  </si>
  <si>
    <t>South</t>
  </si>
  <si>
    <t>P001</t>
  </si>
  <si>
    <t>TXN-2005</t>
  </si>
  <si>
    <t>P006</t>
  </si>
  <si>
    <t>East</t>
  </si>
  <si>
    <t>TXN-2006</t>
  </si>
  <si>
    <t>P003</t>
  </si>
  <si>
    <t>TXN-2007</t>
  </si>
  <si>
    <t>TXN-2008</t>
  </si>
  <si>
    <t>P005</t>
  </si>
  <si>
    <t>TXN-2009</t>
  </si>
  <si>
    <t>TXN-2010</t>
  </si>
  <si>
    <t>TXN-2011</t>
  </si>
  <si>
    <t>TXN-2012</t>
  </si>
  <si>
    <t>TXN-2013</t>
  </si>
  <si>
    <t>TXN-2014</t>
  </si>
  <si>
    <t>TXN-2015</t>
  </si>
  <si>
    <t>TXN-2016</t>
  </si>
  <si>
    <t>TXN-2017</t>
  </si>
  <si>
    <t>TXN-2018</t>
  </si>
  <si>
    <t>TXN-2019</t>
  </si>
  <si>
    <t>TXN-2020</t>
  </si>
  <si>
    <t>TXN-2021</t>
  </si>
  <si>
    <t>TXN-2022</t>
  </si>
  <si>
    <t>TXN-2023</t>
  </si>
  <si>
    <t>TXN-2024</t>
  </si>
  <si>
    <t>TXN-2025</t>
  </si>
  <si>
    <t>TXN-2026</t>
  </si>
  <si>
    <t>TXN-2027</t>
  </si>
  <si>
    <t>TXN-2028</t>
  </si>
  <si>
    <t>TXN-2029</t>
  </si>
  <si>
    <t>TXN-2030</t>
  </si>
  <si>
    <t>TXN-2031</t>
  </si>
  <si>
    <t>TXN-2032</t>
  </si>
  <si>
    <t>TXN-2033</t>
  </si>
  <si>
    <t>TXN-2034</t>
  </si>
  <si>
    <t>TXN-2035</t>
  </si>
  <si>
    <t>TXN-2036</t>
  </si>
  <si>
    <t>TXN-2037</t>
  </si>
  <si>
    <t>TXN-2038</t>
  </si>
  <si>
    <t>TXN-2039</t>
  </si>
  <si>
    <t>TXN-2040</t>
  </si>
  <si>
    <t>TXN-2041</t>
  </si>
  <si>
    <t>TXN-2042</t>
  </si>
  <si>
    <t>TXN-2043</t>
  </si>
  <si>
    <t>TXN-2044</t>
  </si>
  <si>
    <t>TXN-2045</t>
  </si>
  <si>
    <t>TXN-2046</t>
  </si>
  <si>
    <t>TXN-2047</t>
  </si>
  <si>
    <t>TXN-2048</t>
  </si>
  <si>
    <t>TXN-2049</t>
  </si>
  <si>
    <t>TXN-2050</t>
  </si>
  <si>
    <t>TXN-2051</t>
  </si>
  <si>
    <t>TXN-2052</t>
  </si>
  <si>
    <t>TXN-2053</t>
  </si>
  <si>
    <t>TXN-2054</t>
  </si>
  <si>
    <t>TXN-2055</t>
  </si>
  <si>
    <t>TXN-2056</t>
  </si>
  <si>
    <t>TXN-2057</t>
  </si>
  <si>
    <t>TXN-2058</t>
  </si>
  <si>
    <t>TXN-2059</t>
  </si>
  <si>
    <t>TXN-2060</t>
  </si>
  <si>
    <t>TXN-2061</t>
  </si>
  <si>
    <t>TXN-2062</t>
  </si>
  <si>
    <t>TXN-2063</t>
  </si>
  <si>
    <t>TXN-2064</t>
  </si>
  <si>
    <t>TXN-2065</t>
  </si>
  <si>
    <t>TXN-2066</t>
  </si>
  <si>
    <t>TXN-2067</t>
  </si>
  <si>
    <t>TXN-2068</t>
  </si>
  <si>
    <t>TXN-2069</t>
  </si>
  <si>
    <t>TXN-2070</t>
  </si>
  <si>
    <t>TXN-2071</t>
  </si>
  <si>
    <t>TXN-2072</t>
  </si>
  <si>
    <t>TXN-2073</t>
  </si>
  <si>
    <t>TXN-2074</t>
  </si>
  <si>
    <t>TXN-2075</t>
  </si>
  <si>
    <t>TXN-2076</t>
  </si>
  <si>
    <t>TXN-2077</t>
  </si>
  <si>
    <t>TXN-2078</t>
  </si>
  <si>
    <t>TXN-2079</t>
  </si>
  <si>
    <t>TXN-2080</t>
  </si>
  <si>
    <t>TXN-2081</t>
  </si>
  <si>
    <t>TXN-2082</t>
  </si>
  <si>
    <t>TXN-2083</t>
  </si>
  <si>
    <t>TXN-2084</t>
  </si>
  <si>
    <t>TXN-2085</t>
  </si>
  <si>
    <t>TXN-2086</t>
  </si>
  <si>
    <t>TXN-2087</t>
  </si>
  <si>
    <t>TXN-2088</t>
  </si>
  <si>
    <t>TXN-2089</t>
  </si>
  <si>
    <t>TXN-2090</t>
  </si>
  <si>
    <t>TXN-2091</t>
  </si>
  <si>
    <t>TXN-2092</t>
  </si>
  <si>
    <t>TXN-2093</t>
  </si>
  <si>
    <t>TXN-2094</t>
  </si>
  <si>
    <t>TXN-2095</t>
  </si>
  <si>
    <t>TXN-2096</t>
  </si>
  <si>
    <t>TXN-2097</t>
  </si>
  <si>
    <t>TXN-2098</t>
  </si>
  <si>
    <t>TXN-2099</t>
  </si>
  <si>
    <t>TXN-2100</t>
  </si>
  <si>
    <t>TXN-2101</t>
  </si>
  <si>
    <t>TXN-2102</t>
  </si>
  <si>
    <t>TXN-2103</t>
  </si>
  <si>
    <t>TXN-2104</t>
  </si>
  <si>
    <t>TXN-2105</t>
  </si>
  <si>
    <t>TXN-2106</t>
  </si>
  <si>
    <t>TXN-2107</t>
  </si>
  <si>
    <t>TXN-2108</t>
  </si>
  <si>
    <t>TXN-2109</t>
  </si>
  <si>
    <t>TXN-2110</t>
  </si>
  <si>
    <t>TXN-2111</t>
  </si>
  <si>
    <t>TXN-2112</t>
  </si>
  <si>
    <t>TXN-2113</t>
  </si>
  <si>
    <t>TXN-2114</t>
  </si>
  <si>
    <t>TXN-2115</t>
  </si>
  <si>
    <t>TXN-2116</t>
  </si>
  <si>
    <t>TXN-2117</t>
  </si>
  <si>
    <t>TXN-2118</t>
  </si>
  <si>
    <t>TXN-2119</t>
  </si>
  <si>
    <t>TXN-2120</t>
  </si>
  <si>
    <t>TXN-2121</t>
  </si>
  <si>
    <t>TXN-2122</t>
  </si>
  <si>
    <t>TXN-2123</t>
  </si>
  <si>
    <t>TXN-2124</t>
  </si>
  <si>
    <t>TXN-2125</t>
  </si>
  <si>
    <t>TXN-2126</t>
  </si>
  <si>
    <t>TXN-2127</t>
  </si>
  <si>
    <t>TXN-2128</t>
  </si>
  <si>
    <t>TXN-2129</t>
  </si>
  <si>
    <t>TXN-2130</t>
  </si>
  <si>
    <t>TXN-2131</t>
  </si>
  <si>
    <t>TXN-2132</t>
  </si>
  <si>
    <t>TXN-2133</t>
  </si>
  <si>
    <t>TXN-2134</t>
  </si>
  <si>
    <t>TXN-2135</t>
  </si>
  <si>
    <t>TXN-2136</t>
  </si>
  <si>
    <t>TXN-2137</t>
  </si>
  <si>
    <t>TXN-2138</t>
  </si>
  <si>
    <t>TXN-2139</t>
  </si>
  <si>
    <t>TXN-2140</t>
  </si>
  <si>
    <t>TXN-2141</t>
  </si>
  <si>
    <t>TXN-2142</t>
  </si>
  <si>
    <t>TXN-2143</t>
  </si>
  <si>
    <t>TXN-2144</t>
  </si>
  <si>
    <t>TXN-2145</t>
  </si>
  <si>
    <t>TXN-2146</t>
  </si>
  <si>
    <t>TXN-2147</t>
  </si>
  <si>
    <t>TXN-2148</t>
  </si>
  <si>
    <t>TXN-2149</t>
  </si>
  <si>
    <t>TXN-2150</t>
  </si>
  <si>
    <t>TXN-2151</t>
  </si>
  <si>
    <t>TXN-2152</t>
  </si>
  <si>
    <t>TXN-2153</t>
  </si>
  <si>
    <t>TXN-2154</t>
  </si>
  <si>
    <t>TXN-2155</t>
  </si>
  <si>
    <t>TXN-2156</t>
  </si>
  <si>
    <t>TXN-2157</t>
  </si>
  <si>
    <t>TXN-2158</t>
  </si>
  <si>
    <t>TXN-2159</t>
  </si>
  <si>
    <t>TXN-2160</t>
  </si>
  <si>
    <t>TXN-2161</t>
  </si>
  <si>
    <t>TXN-2162</t>
  </si>
  <si>
    <t>TXN-2163</t>
  </si>
  <si>
    <t>TXN-2164</t>
  </si>
  <si>
    <t>TXN-2165</t>
  </si>
  <si>
    <t>TXN-2166</t>
  </si>
  <si>
    <t>TXN-2167</t>
  </si>
  <si>
    <t>TXN-2168</t>
  </si>
  <si>
    <t>TXN-2169</t>
  </si>
  <si>
    <t>TXN-2170</t>
  </si>
  <si>
    <t>TXN-2171</t>
  </si>
  <si>
    <t>TXN-2172</t>
  </si>
  <si>
    <t>TXN-2173</t>
  </si>
  <si>
    <t>TXN-2174</t>
  </si>
  <si>
    <t>TXN-2175</t>
  </si>
  <si>
    <t>TXN-2176</t>
  </si>
  <si>
    <t>TXN-2177</t>
  </si>
  <si>
    <t>TXN-2178</t>
  </si>
  <si>
    <t>TXN-2179</t>
  </si>
  <si>
    <t>TXN-2180</t>
  </si>
  <si>
    <t>TXN-2181</t>
  </si>
  <si>
    <t>TXN-2182</t>
  </si>
  <si>
    <t>TXN-2183</t>
  </si>
  <si>
    <t>TXN-2184</t>
  </si>
  <si>
    <t>TXN-2185</t>
  </si>
  <si>
    <t>TXN-2186</t>
  </si>
  <si>
    <t>TXN-2187</t>
  </si>
  <si>
    <t>TXN-2188</t>
  </si>
  <si>
    <t>TXN-2189</t>
  </si>
  <si>
    <t>TXN-2190</t>
  </si>
  <si>
    <t>TXN-2191</t>
  </si>
  <si>
    <t>TXN-2192</t>
  </si>
  <si>
    <t>TXN-2193</t>
  </si>
  <si>
    <t>TXN-2194</t>
  </si>
  <si>
    <t>TXN-2195</t>
  </si>
  <si>
    <t>TXN-2196</t>
  </si>
  <si>
    <t>TXN-2197</t>
  </si>
  <si>
    <t>TXN-2198</t>
  </si>
  <si>
    <t>TXN-2199</t>
  </si>
  <si>
    <t>Product_Name</t>
  </si>
  <si>
    <t>Product_Type</t>
  </si>
  <si>
    <t>Base_Price</t>
  </si>
  <si>
    <t>Laptop</t>
  </si>
  <si>
    <t>Hardware</t>
  </si>
  <si>
    <t>Desktop</t>
  </si>
  <si>
    <t>Office Suite</t>
  </si>
  <si>
    <t>Software</t>
  </si>
  <si>
    <t>Cloud Storage</t>
  </si>
  <si>
    <t>Monitor</t>
  </si>
  <si>
    <t>Keyboard</t>
  </si>
  <si>
    <t>Accessories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</si>
</sst>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:SS"/>
  </numFmts>
  <fonts count="4">
    <font>
      <sz val="11.0"/>
      <color theme="1"/>
      <name val="Calibri"/>
      <scheme val="minor"/>
    </font>
    <font>
      <b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Font="1"/>
    <xf borderId="0" fillId="0" fontId="3" numFmtId="164" xfId="0" applyFont="1" applyNumberFormat="1"/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2.14"/>
    <col customWidth="1" min="2" max="9" width="8.71"/>
    <col customWidth="1" min="10" max="10" width="23.0"/>
    <col customWidth="1" min="11" max="11" width="19.14"/>
    <col customWidth="1" min="12" max="12" width="36.43"/>
    <col customWidth="1" min="13" max="13" width="13.0"/>
    <col customWidth="1" min="14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33.0" customHeight="1">
      <c r="A2" s="2" t="s">
        <v>5</v>
      </c>
      <c r="B2" s="3">
        <v>46009.0</v>
      </c>
      <c r="C2" s="2" t="s">
        <v>6</v>
      </c>
      <c r="D2" s="2" t="s">
        <v>7</v>
      </c>
      <c r="E2" s="2">
        <v>4209.72</v>
      </c>
      <c r="F2" s="2">
        <f t="shared" ref="F2:F201" si="1">IFERROR(E2,0)</f>
        <v>4209.72</v>
      </c>
      <c r="G2" s="2" t="b">
        <f t="shared" ref="G2:G201" si="2">ISNA(E2)</f>
        <v>0</v>
      </c>
      <c r="J2" s="4" t="s">
        <v>8</v>
      </c>
      <c r="K2" s="4" t="s">
        <v>9</v>
      </c>
      <c r="L2" s="4" t="s">
        <v>10</v>
      </c>
    </row>
    <row r="3">
      <c r="A3" s="2" t="s">
        <v>11</v>
      </c>
      <c r="B3" s="3">
        <v>45669.0</v>
      </c>
      <c r="C3" s="2" t="s">
        <v>12</v>
      </c>
      <c r="D3" s="2" t="s">
        <v>13</v>
      </c>
      <c r="E3" s="2">
        <v>4586.23</v>
      </c>
      <c r="F3" s="2">
        <f t="shared" si="1"/>
        <v>4586.23</v>
      </c>
      <c r="G3" s="2" t="b">
        <f t="shared" si="2"/>
        <v>0</v>
      </c>
      <c r="J3" s="5" t="s">
        <v>6</v>
      </c>
      <c r="K3" s="6">
        <f t="shared" ref="K3:K12" si="3">SUMIF(C2:C201,J3,E2:E201)</f>
        <v>118542.52</v>
      </c>
      <c r="L3" s="6">
        <f t="shared" ref="L3:L7" si="4">COUNTIFS(C2:C201,J3,E2:E201,"&gt;700")</f>
        <v>36</v>
      </c>
    </row>
    <row r="4">
      <c r="A4" s="2" t="s">
        <v>14</v>
      </c>
      <c r="B4" s="3">
        <v>45995.0</v>
      </c>
      <c r="C4" s="2" t="s">
        <v>6</v>
      </c>
      <c r="D4" s="2" t="s">
        <v>15</v>
      </c>
      <c r="E4" s="2">
        <v>1877.18</v>
      </c>
      <c r="F4" s="2">
        <f t="shared" si="1"/>
        <v>1877.18</v>
      </c>
      <c r="G4" s="2" t="b">
        <f t="shared" si="2"/>
        <v>0</v>
      </c>
      <c r="J4" s="5" t="s">
        <v>12</v>
      </c>
      <c r="K4" s="6">
        <f t="shared" si="3"/>
        <v>98799.88</v>
      </c>
      <c r="L4" s="6">
        <f t="shared" si="4"/>
        <v>33</v>
      </c>
    </row>
    <row r="5">
      <c r="A5" s="2" t="s">
        <v>16</v>
      </c>
      <c r="B5" s="3">
        <v>45984.0</v>
      </c>
      <c r="C5" s="2" t="s">
        <v>17</v>
      </c>
      <c r="D5" s="2" t="s">
        <v>13</v>
      </c>
      <c r="E5" s="2">
        <v>2691.31</v>
      </c>
      <c r="F5" s="2">
        <f t="shared" si="1"/>
        <v>2691.31</v>
      </c>
      <c r="G5" s="2" t="b">
        <f t="shared" si="2"/>
        <v>0</v>
      </c>
      <c r="J5" s="5" t="s">
        <v>17</v>
      </c>
      <c r="K5" s="6">
        <f t="shared" si="3"/>
        <v>77650.29</v>
      </c>
      <c r="L5" s="6">
        <f t="shared" si="4"/>
        <v>29</v>
      </c>
    </row>
    <row r="6">
      <c r="A6" s="2" t="s">
        <v>18</v>
      </c>
      <c r="B6" s="3">
        <v>45721.0</v>
      </c>
      <c r="C6" s="2" t="s">
        <v>19</v>
      </c>
      <c r="D6" s="2" t="s">
        <v>20</v>
      </c>
      <c r="E6" s="2">
        <v>4138.66</v>
      </c>
      <c r="F6" s="2">
        <f t="shared" si="1"/>
        <v>4138.66</v>
      </c>
      <c r="G6" s="2" t="b">
        <f t="shared" si="2"/>
        <v>0</v>
      </c>
      <c r="J6" s="5" t="s">
        <v>19</v>
      </c>
      <c r="K6" s="6">
        <f t="shared" si="3"/>
        <v>122811.4</v>
      </c>
      <c r="L6" s="6">
        <f t="shared" si="4"/>
        <v>42</v>
      </c>
    </row>
    <row r="7">
      <c r="A7" s="2" t="s">
        <v>21</v>
      </c>
      <c r="B7" s="3">
        <v>45745.0</v>
      </c>
      <c r="C7" s="2" t="s">
        <v>6</v>
      </c>
      <c r="D7" s="2" t="s">
        <v>22</v>
      </c>
      <c r="E7" s="2">
        <v>3787.99</v>
      </c>
      <c r="F7" s="2">
        <f t="shared" si="1"/>
        <v>3787.99</v>
      </c>
      <c r="G7" s="2" t="b">
        <f t="shared" si="2"/>
        <v>0</v>
      </c>
      <c r="J7" s="5" t="s">
        <v>23</v>
      </c>
      <c r="K7" s="6">
        <f t="shared" si="3"/>
        <v>88729.04</v>
      </c>
      <c r="L7" s="6">
        <f t="shared" si="4"/>
        <v>30</v>
      </c>
    </row>
    <row r="8">
      <c r="A8" s="2" t="s">
        <v>24</v>
      </c>
      <c r="B8" s="3">
        <v>45733.0</v>
      </c>
      <c r="C8" s="2" t="s">
        <v>23</v>
      </c>
      <c r="D8" s="2" t="s">
        <v>25</v>
      </c>
      <c r="E8" s="2">
        <v>1743.26</v>
      </c>
      <c r="F8" s="2">
        <f t="shared" si="1"/>
        <v>1743.26</v>
      </c>
      <c r="G8" s="2" t="b">
        <f t="shared" si="2"/>
        <v>0</v>
      </c>
      <c r="J8" s="5" t="s">
        <v>6</v>
      </c>
      <c r="K8" s="6">
        <f t="shared" si="3"/>
        <v>112455.62</v>
      </c>
      <c r="L8" s="6">
        <f t="shared" ref="L8:L12" si="5">COUNTIFS(C6:C205,J7,E6:E205,"&lt;700")</f>
        <v>6</v>
      </c>
    </row>
    <row r="9">
      <c r="A9" s="2" t="s">
        <v>26</v>
      </c>
      <c r="B9" s="3">
        <v>45698.0</v>
      </c>
      <c r="C9" s="2" t="s">
        <v>6</v>
      </c>
      <c r="D9" s="2" t="s">
        <v>13</v>
      </c>
      <c r="E9" s="2">
        <v>3514.18</v>
      </c>
      <c r="F9" s="2">
        <f t="shared" si="1"/>
        <v>3514.18</v>
      </c>
      <c r="G9" s="2" t="b">
        <f t="shared" si="2"/>
        <v>0</v>
      </c>
      <c r="J9" s="5" t="s">
        <v>12</v>
      </c>
      <c r="K9" s="6">
        <f t="shared" si="3"/>
        <v>94213.65</v>
      </c>
      <c r="L9" s="6">
        <f t="shared" si="5"/>
        <v>7</v>
      </c>
    </row>
    <row r="10">
      <c r="A10" s="2" t="s">
        <v>27</v>
      </c>
      <c r="B10" s="3">
        <v>45790.0</v>
      </c>
      <c r="C10" s="2" t="s">
        <v>23</v>
      </c>
      <c r="D10" s="2" t="s">
        <v>28</v>
      </c>
      <c r="E10" s="2">
        <v>4428.38</v>
      </c>
      <c r="F10" s="2">
        <f t="shared" si="1"/>
        <v>4428.38</v>
      </c>
      <c r="G10" s="2" t="b">
        <f t="shared" si="2"/>
        <v>0</v>
      </c>
      <c r="J10" s="5" t="s">
        <v>17</v>
      </c>
      <c r="K10" s="6">
        <f t="shared" si="3"/>
        <v>74958.98</v>
      </c>
      <c r="L10" s="6">
        <f t="shared" si="5"/>
        <v>5</v>
      </c>
    </row>
    <row r="11">
      <c r="A11" s="2" t="s">
        <v>29</v>
      </c>
      <c r="B11" s="3">
        <v>45721.0</v>
      </c>
      <c r="C11" s="2" t="s">
        <v>23</v>
      </c>
      <c r="D11" s="2" t="s">
        <v>13</v>
      </c>
      <c r="E11" s="2">
        <v>395.13</v>
      </c>
      <c r="F11" s="2">
        <f t="shared" si="1"/>
        <v>395.13</v>
      </c>
      <c r="G11" s="2" t="b">
        <f t="shared" si="2"/>
        <v>0</v>
      </c>
      <c r="J11" s="5" t="s">
        <v>19</v>
      </c>
      <c r="K11" s="6">
        <f t="shared" si="3"/>
        <v>118672.74</v>
      </c>
      <c r="L11" s="6">
        <f t="shared" si="5"/>
        <v>6</v>
      </c>
    </row>
    <row r="12">
      <c r="A12" s="2" t="s">
        <v>30</v>
      </c>
      <c r="B12" s="3">
        <v>45903.0</v>
      </c>
      <c r="C12" s="2" t="s">
        <v>23</v>
      </c>
      <c r="D12" s="2" t="s">
        <v>7</v>
      </c>
      <c r="E12" s="2">
        <v>3313.2</v>
      </c>
      <c r="F12" s="2">
        <f t="shared" si="1"/>
        <v>3313.2</v>
      </c>
      <c r="G12" s="2" t="b">
        <f t="shared" si="2"/>
        <v>0</v>
      </c>
      <c r="J12" s="5" t="s">
        <v>23</v>
      </c>
      <c r="K12" s="6">
        <f t="shared" si="3"/>
        <v>82557.4</v>
      </c>
      <c r="L12" s="6">
        <f t="shared" si="5"/>
        <v>6</v>
      </c>
    </row>
    <row r="13">
      <c r="A13" s="2" t="s">
        <v>31</v>
      </c>
      <c r="B13" s="3">
        <v>45974.0</v>
      </c>
      <c r="C13" s="2" t="s">
        <v>19</v>
      </c>
      <c r="D13" s="2" t="s">
        <v>15</v>
      </c>
      <c r="E13" s="2">
        <v>1784.06</v>
      </c>
      <c r="F13" s="2">
        <f t="shared" si="1"/>
        <v>1784.06</v>
      </c>
      <c r="G13" s="2" t="b">
        <f t="shared" si="2"/>
        <v>0</v>
      </c>
    </row>
    <row r="14">
      <c r="A14" s="2" t="s">
        <v>32</v>
      </c>
      <c r="B14" s="3">
        <v>45878.0</v>
      </c>
      <c r="C14" s="2" t="s">
        <v>23</v>
      </c>
      <c r="D14" s="2" t="s">
        <v>13</v>
      </c>
      <c r="E14" s="2">
        <v>1645.32</v>
      </c>
      <c r="F14" s="2">
        <f t="shared" si="1"/>
        <v>1645.32</v>
      </c>
      <c r="G14" s="2" t="b">
        <f t="shared" si="2"/>
        <v>0</v>
      </c>
    </row>
    <row r="15">
      <c r="A15" s="2" t="s">
        <v>33</v>
      </c>
      <c r="B15" s="3">
        <v>45850.0</v>
      </c>
      <c r="C15" s="2" t="s">
        <v>19</v>
      </c>
      <c r="D15" s="2" t="s">
        <v>7</v>
      </c>
      <c r="E15" s="2">
        <v>4510.9</v>
      </c>
      <c r="F15" s="2">
        <f t="shared" si="1"/>
        <v>4510.9</v>
      </c>
      <c r="G15" s="2" t="b">
        <f t="shared" si="2"/>
        <v>0</v>
      </c>
    </row>
    <row r="16">
      <c r="A16" s="2" t="s">
        <v>34</v>
      </c>
      <c r="B16" s="3">
        <v>45768.0</v>
      </c>
      <c r="C16" s="2" t="s">
        <v>6</v>
      </c>
      <c r="D16" s="2" t="s">
        <v>28</v>
      </c>
      <c r="E16" s="2">
        <v>1768.11</v>
      </c>
      <c r="F16" s="2">
        <f t="shared" si="1"/>
        <v>1768.11</v>
      </c>
      <c r="G16" s="2" t="b">
        <f t="shared" si="2"/>
        <v>0</v>
      </c>
    </row>
    <row r="17">
      <c r="A17" s="2" t="s">
        <v>35</v>
      </c>
      <c r="B17" s="3">
        <v>45663.0</v>
      </c>
      <c r="C17" s="2" t="s">
        <v>23</v>
      </c>
      <c r="D17" s="2" t="s">
        <v>20</v>
      </c>
      <c r="E17" s="2">
        <v>4875.49</v>
      </c>
      <c r="F17" s="2">
        <f t="shared" si="1"/>
        <v>4875.49</v>
      </c>
      <c r="G17" s="2" t="b">
        <f t="shared" si="2"/>
        <v>0</v>
      </c>
    </row>
    <row r="18">
      <c r="A18" s="2" t="s">
        <v>36</v>
      </c>
      <c r="B18" s="3">
        <v>45698.0</v>
      </c>
      <c r="C18" s="2" t="s">
        <v>6</v>
      </c>
      <c r="D18" s="2" t="s">
        <v>13</v>
      </c>
      <c r="E18" s="2">
        <v>3451.02</v>
      </c>
      <c r="F18" s="2">
        <f t="shared" si="1"/>
        <v>3451.02</v>
      </c>
      <c r="G18" s="2" t="b">
        <f t="shared" si="2"/>
        <v>0</v>
      </c>
    </row>
    <row r="19">
      <c r="A19" s="2" t="s">
        <v>37</v>
      </c>
      <c r="B19" s="3">
        <v>45707.0</v>
      </c>
      <c r="C19" s="2" t="s">
        <v>17</v>
      </c>
      <c r="D19" s="2" t="s">
        <v>13</v>
      </c>
      <c r="E19" s="2">
        <v>2937.31</v>
      </c>
      <c r="F19" s="2">
        <f t="shared" si="1"/>
        <v>2937.31</v>
      </c>
      <c r="G19" s="2" t="b">
        <f t="shared" si="2"/>
        <v>0</v>
      </c>
    </row>
    <row r="20">
      <c r="A20" s="2" t="s">
        <v>38</v>
      </c>
      <c r="B20" s="3">
        <v>45997.0</v>
      </c>
      <c r="C20" s="2" t="s">
        <v>23</v>
      </c>
      <c r="D20" s="2" t="s">
        <v>25</v>
      </c>
      <c r="E20" s="2">
        <v>4952.5</v>
      </c>
      <c r="F20" s="2">
        <f t="shared" si="1"/>
        <v>4952.5</v>
      </c>
      <c r="G20" s="2" t="b">
        <f t="shared" si="2"/>
        <v>0</v>
      </c>
    </row>
    <row r="21" ht="15.75" customHeight="1">
      <c r="A21" s="2" t="s">
        <v>39</v>
      </c>
      <c r="B21" s="3">
        <v>45769.0</v>
      </c>
      <c r="C21" s="2" t="s">
        <v>17</v>
      </c>
      <c r="D21" s="2" t="s">
        <v>7</v>
      </c>
      <c r="E21" s="2">
        <v>1234.32</v>
      </c>
      <c r="F21" s="2">
        <f t="shared" si="1"/>
        <v>1234.32</v>
      </c>
      <c r="G21" s="2" t="b">
        <f t="shared" si="2"/>
        <v>0</v>
      </c>
    </row>
    <row r="22" ht="15.75" customHeight="1">
      <c r="A22" s="2" t="s">
        <v>40</v>
      </c>
      <c r="B22" s="3">
        <v>45794.0</v>
      </c>
      <c r="C22" s="2" t="s">
        <v>19</v>
      </c>
      <c r="D22" s="2" t="s">
        <v>15</v>
      </c>
      <c r="E22" s="2">
        <v>432.01</v>
      </c>
      <c r="F22" s="2">
        <f t="shared" si="1"/>
        <v>432.01</v>
      </c>
      <c r="G22" s="2" t="b">
        <f t="shared" si="2"/>
        <v>0</v>
      </c>
    </row>
    <row r="23" ht="15.75" customHeight="1">
      <c r="A23" s="2" t="s">
        <v>41</v>
      </c>
      <c r="B23" s="3">
        <v>45717.0</v>
      </c>
      <c r="C23" s="2" t="s">
        <v>6</v>
      </c>
      <c r="D23" s="2" t="s">
        <v>7</v>
      </c>
      <c r="E23" s="2">
        <v>316.74</v>
      </c>
      <c r="F23" s="2">
        <f t="shared" si="1"/>
        <v>316.74</v>
      </c>
      <c r="G23" s="2" t="b">
        <f t="shared" si="2"/>
        <v>0</v>
      </c>
    </row>
    <row r="24" ht="15.75" customHeight="1">
      <c r="A24" s="2" t="s">
        <v>42</v>
      </c>
      <c r="B24" s="3">
        <v>45702.0</v>
      </c>
      <c r="C24" s="2" t="s">
        <v>19</v>
      </c>
      <c r="D24" s="2" t="s">
        <v>7</v>
      </c>
      <c r="E24" s="2">
        <v>4480.11</v>
      </c>
      <c r="F24" s="2">
        <f t="shared" si="1"/>
        <v>4480.11</v>
      </c>
      <c r="G24" s="2" t="b">
        <f t="shared" si="2"/>
        <v>0</v>
      </c>
    </row>
    <row r="25" ht="15.75" customHeight="1">
      <c r="A25" s="2" t="s">
        <v>43</v>
      </c>
      <c r="B25" s="3">
        <v>45986.0</v>
      </c>
      <c r="C25" s="2" t="s">
        <v>6</v>
      </c>
      <c r="D25" s="2" t="s">
        <v>22</v>
      </c>
      <c r="E25" s="2">
        <v>3668.33</v>
      </c>
      <c r="F25" s="2">
        <f t="shared" si="1"/>
        <v>3668.33</v>
      </c>
      <c r="G25" s="2" t="b">
        <f t="shared" si="2"/>
        <v>0</v>
      </c>
    </row>
    <row r="26" ht="15.75" customHeight="1">
      <c r="A26" s="2" t="s">
        <v>44</v>
      </c>
      <c r="B26" s="3">
        <v>45907.0</v>
      </c>
      <c r="C26" s="2" t="s">
        <v>12</v>
      </c>
      <c r="D26" s="2" t="s">
        <v>13</v>
      </c>
      <c r="E26" s="2">
        <v>3612.51</v>
      </c>
      <c r="F26" s="2">
        <f t="shared" si="1"/>
        <v>3612.51</v>
      </c>
      <c r="G26" s="2" t="b">
        <f t="shared" si="2"/>
        <v>0</v>
      </c>
    </row>
    <row r="27" ht="15.75" customHeight="1">
      <c r="A27" s="2" t="s">
        <v>45</v>
      </c>
      <c r="B27" s="3">
        <v>45933.0</v>
      </c>
      <c r="C27" s="2" t="s">
        <v>12</v>
      </c>
      <c r="D27" s="2" t="s">
        <v>22</v>
      </c>
      <c r="E27" s="2">
        <v>3888.59</v>
      </c>
      <c r="F27" s="2">
        <f t="shared" si="1"/>
        <v>3888.59</v>
      </c>
      <c r="G27" s="2" t="b">
        <f t="shared" si="2"/>
        <v>0</v>
      </c>
    </row>
    <row r="28" ht="15.75" customHeight="1">
      <c r="A28" s="2" t="s">
        <v>46</v>
      </c>
      <c r="B28" s="3">
        <v>45784.0</v>
      </c>
      <c r="C28" s="2" t="s">
        <v>19</v>
      </c>
      <c r="D28" s="2" t="s">
        <v>20</v>
      </c>
      <c r="E28" s="2">
        <v>3810.27</v>
      </c>
      <c r="F28" s="2">
        <f t="shared" si="1"/>
        <v>3810.27</v>
      </c>
      <c r="G28" s="2" t="b">
        <f t="shared" si="2"/>
        <v>0</v>
      </c>
    </row>
    <row r="29" ht="15.75" customHeight="1">
      <c r="A29" s="2" t="s">
        <v>47</v>
      </c>
      <c r="B29" s="3">
        <v>45734.0</v>
      </c>
      <c r="C29" s="2" t="s">
        <v>17</v>
      </c>
      <c r="D29" s="2" t="s">
        <v>28</v>
      </c>
      <c r="E29" s="2">
        <v>468.43</v>
      </c>
      <c r="F29" s="2">
        <f t="shared" si="1"/>
        <v>468.43</v>
      </c>
      <c r="G29" s="2" t="b">
        <f t="shared" si="2"/>
        <v>0</v>
      </c>
    </row>
    <row r="30" ht="15.75" customHeight="1">
      <c r="A30" s="2" t="s">
        <v>48</v>
      </c>
      <c r="B30" s="3">
        <v>45881.0</v>
      </c>
      <c r="C30" s="2" t="s">
        <v>19</v>
      </c>
      <c r="D30" s="2" t="s">
        <v>15</v>
      </c>
      <c r="E30" s="2">
        <v>2175.14</v>
      </c>
      <c r="F30" s="2">
        <f t="shared" si="1"/>
        <v>2175.14</v>
      </c>
      <c r="G30" s="2" t="b">
        <f t="shared" si="2"/>
        <v>0</v>
      </c>
    </row>
    <row r="31" ht="15.75" customHeight="1">
      <c r="A31" s="2" t="s">
        <v>49</v>
      </c>
      <c r="B31" s="3">
        <v>45765.0</v>
      </c>
      <c r="C31" s="2" t="s">
        <v>23</v>
      </c>
      <c r="D31" s="2" t="s">
        <v>22</v>
      </c>
      <c r="E31" s="2">
        <v>2012.65</v>
      </c>
      <c r="F31" s="2">
        <f t="shared" si="1"/>
        <v>2012.65</v>
      </c>
      <c r="G31" s="2" t="b">
        <f t="shared" si="2"/>
        <v>0</v>
      </c>
    </row>
    <row r="32" ht="15.75" customHeight="1">
      <c r="A32" s="2" t="s">
        <v>50</v>
      </c>
      <c r="B32" s="3">
        <v>46001.0</v>
      </c>
      <c r="C32" s="2" t="s">
        <v>17</v>
      </c>
      <c r="D32" s="2" t="s">
        <v>7</v>
      </c>
      <c r="E32" s="2">
        <v>2455.81</v>
      </c>
      <c r="F32" s="2">
        <f t="shared" si="1"/>
        <v>2455.81</v>
      </c>
      <c r="G32" s="2" t="b">
        <f t="shared" si="2"/>
        <v>0</v>
      </c>
    </row>
    <row r="33" ht="15.75" customHeight="1">
      <c r="A33" s="2" t="s">
        <v>51</v>
      </c>
      <c r="B33" s="3">
        <v>45763.0</v>
      </c>
      <c r="C33" s="2" t="s">
        <v>6</v>
      </c>
      <c r="D33" s="2" t="s">
        <v>13</v>
      </c>
      <c r="E33" s="2">
        <v>2949.99</v>
      </c>
      <c r="F33" s="2">
        <f t="shared" si="1"/>
        <v>2949.99</v>
      </c>
      <c r="G33" s="2" t="b">
        <f t="shared" si="2"/>
        <v>0</v>
      </c>
    </row>
    <row r="34" ht="15.75" customHeight="1">
      <c r="A34" s="2" t="s">
        <v>52</v>
      </c>
      <c r="B34" s="3">
        <v>45897.0</v>
      </c>
      <c r="C34" s="2" t="s">
        <v>23</v>
      </c>
      <c r="D34" s="2" t="s">
        <v>28</v>
      </c>
      <c r="E34" s="2">
        <v>311.75</v>
      </c>
      <c r="F34" s="2">
        <f t="shared" si="1"/>
        <v>311.75</v>
      </c>
      <c r="G34" s="2" t="b">
        <f t="shared" si="2"/>
        <v>0</v>
      </c>
    </row>
    <row r="35" ht="15.75" customHeight="1">
      <c r="A35" s="2" t="s">
        <v>53</v>
      </c>
      <c r="B35" s="3">
        <v>45922.0</v>
      </c>
      <c r="C35" s="2" t="s">
        <v>6</v>
      </c>
      <c r="D35" s="2" t="s">
        <v>15</v>
      </c>
      <c r="E35" s="2">
        <v>4703.13</v>
      </c>
      <c r="F35" s="2">
        <f t="shared" si="1"/>
        <v>4703.13</v>
      </c>
      <c r="G35" s="2" t="b">
        <f t="shared" si="2"/>
        <v>0</v>
      </c>
    </row>
    <row r="36" ht="15.75" customHeight="1">
      <c r="A36" s="2" t="s">
        <v>54</v>
      </c>
      <c r="B36" s="3">
        <v>45720.0</v>
      </c>
      <c r="C36" s="2" t="s">
        <v>17</v>
      </c>
      <c r="D36" s="2" t="s">
        <v>25</v>
      </c>
      <c r="E36" s="2">
        <v>3010.6</v>
      </c>
      <c r="F36" s="2">
        <f t="shared" si="1"/>
        <v>3010.6</v>
      </c>
      <c r="G36" s="2" t="b">
        <f t="shared" si="2"/>
        <v>0</v>
      </c>
    </row>
    <row r="37" ht="15.75" customHeight="1">
      <c r="A37" s="2" t="s">
        <v>55</v>
      </c>
      <c r="B37" s="3">
        <v>45822.0</v>
      </c>
      <c r="C37" s="2" t="s">
        <v>23</v>
      </c>
      <c r="D37" s="2" t="s">
        <v>20</v>
      </c>
      <c r="E37" s="2">
        <v>1964.9</v>
      </c>
      <c r="F37" s="2">
        <f t="shared" si="1"/>
        <v>1964.9</v>
      </c>
      <c r="G37" s="2" t="b">
        <f t="shared" si="2"/>
        <v>0</v>
      </c>
    </row>
    <row r="38" ht="15.75" customHeight="1">
      <c r="A38" s="2" t="s">
        <v>56</v>
      </c>
      <c r="B38" s="3">
        <v>45757.0</v>
      </c>
      <c r="C38" s="2" t="s">
        <v>6</v>
      </c>
      <c r="D38" s="2" t="s">
        <v>22</v>
      </c>
      <c r="E38" s="2">
        <v>4976.52</v>
      </c>
      <c r="F38" s="2">
        <f t="shared" si="1"/>
        <v>4976.52</v>
      </c>
      <c r="G38" s="2" t="b">
        <f t="shared" si="2"/>
        <v>0</v>
      </c>
    </row>
    <row r="39" ht="15.75" customHeight="1">
      <c r="A39" s="2" t="s">
        <v>57</v>
      </c>
      <c r="B39" s="3">
        <v>45942.0</v>
      </c>
      <c r="C39" s="2" t="s">
        <v>17</v>
      </c>
      <c r="D39" s="2" t="s">
        <v>25</v>
      </c>
      <c r="E39" s="2">
        <v>1541.46</v>
      </c>
      <c r="F39" s="2">
        <f t="shared" si="1"/>
        <v>1541.46</v>
      </c>
      <c r="G39" s="2" t="b">
        <f t="shared" si="2"/>
        <v>0</v>
      </c>
    </row>
    <row r="40" ht="15.75" customHeight="1">
      <c r="A40" s="2" t="s">
        <v>58</v>
      </c>
      <c r="B40" s="3">
        <v>45977.0</v>
      </c>
      <c r="C40" s="2" t="s">
        <v>19</v>
      </c>
      <c r="D40" s="2" t="s">
        <v>7</v>
      </c>
      <c r="E40" s="2">
        <v>1294.73</v>
      </c>
      <c r="F40" s="2">
        <f t="shared" si="1"/>
        <v>1294.73</v>
      </c>
      <c r="G40" s="2" t="b">
        <f t="shared" si="2"/>
        <v>0</v>
      </c>
    </row>
    <row r="41" ht="15.75" customHeight="1">
      <c r="A41" s="2" t="s">
        <v>59</v>
      </c>
      <c r="B41" s="3">
        <v>45665.0</v>
      </c>
      <c r="C41" s="2" t="s">
        <v>17</v>
      </c>
      <c r="D41" s="2" t="s">
        <v>20</v>
      </c>
      <c r="E41" s="2">
        <v>4904.75</v>
      </c>
      <c r="F41" s="2">
        <f t="shared" si="1"/>
        <v>4904.75</v>
      </c>
      <c r="G41" s="2" t="b">
        <f t="shared" si="2"/>
        <v>0</v>
      </c>
    </row>
    <row r="42" ht="15.75" customHeight="1">
      <c r="A42" s="2" t="s">
        <v>60</v>
      </c>
      <c r="B42" s="3">
        <v>45761.0</v>
      </c>
      <c r="C42" s="2" t="s">
        <v>19</v>
      </c>
      <c r="D42" s="2" t="s">
        <v>20</v>
      </c>
      <c r="E42" s="2">
        <v>2132.05</v>
      </c>
      <c r="F42" s="2">
        <f t="shared" si="1"/>
        <v>2132.05</v>
      </c>
      <c r="G42" s="2" t="b">
        <f t="shared" si="2"/>
        <v>0</v>
      </c>
    </row>
    <row r="43" ht="15.75" customHeight="1">
      <c r="A43" s="2" t="s">
        <v>61</v>
      </c>
      <c r="B43" s="3">
        <v>45952.0</v>
      </c>
      <c r="C43" s="2" t="s">
        <v>6</v>
      </c>
      <c r="D43" s="2" t="s">
        <v>13</v>
      </c>
      <c r="E43" s="2">
        <v>3122.71</v>
      </c>
      <c r="F43" s="2">
        <f t="shared" si="1"/>
        <v>3122.71</v>
      </c>
      <c r="G43" s="2" t="b">
        <f t="shared" si="2"/>
        <v>0</v>
      </c>
    </row>
    <row r="44" ht="15.75" customHeight="1">
      <c r="A44" s="2" t="s">
        <v>62</v>
      </c>
      <c r="B44" s="3">
        <v>45896.0</v>
      </c>
      <c r="C44" s="2" t="s">
        <v>23</v>
      </c>
      <c r="D44" s="2" t="s">
        <v>20</v>
      </c>
      <c r="E44" s="2">
        <v>157.87</v>
      </c>
      <c r="F44" s="2">
        <f t="shared" si="1"/>
        <v>157.87</v>
      </c>
      <c r="G44" s="2" t="b">
        <f t="shared" si="2"/>
        <v>0</v>
      </c>
    </row>
    <row r="45" ht="15.75" customHeight="1">
      <c r="A45" s="2" t="s">
        <v>63</v>
      </c>
      <c r="B45" s="3">
        <v>45987.0</v>
      </c>
      <c r="C45" s="2" t="s">
        <v>6</v>
      </c>
      <c r="D45" s="2" t="s">
        <v>28</v>
      </c>
      <c r="E45" s="2">
        <v>2914.89</v>
      </c>
      <c r="F45" s="2">
        <f t="shared" si="1"/>
        <v>2914.89</v>
      </c>
      <c r="G45" s="2" t="b">
        <f t="shared" si="2"/>
        <v>0</v>
      </c>
    </row>
    <row r="46" ht="15.75" customHeight="1">
      <c r="A46" s="2" t="s">
        <v>64</v>
      </c>
      <c r="B46" s="3">
        <v>45985.0</v>
      </c>
      <c r="C46" s="2" t="s">
        <v>12</v>
      </c>
      <c r="D46" s="2" t="s">
        <v>7</v>
      </c>
      <c r="E46" s="2">
        <v>668.5</v>
      </c>
      <c r="F46" s="2">
        <f t="shared" si="1"/>
        <v>668.5</v>
      </c>
      <c r="G46" s="2" t="b">
        <f t="shared" si="2"/>
        <v>0</v>
      </c>
    </row>
    <row r="47" ht="15.75" customHeight="1">
      <c r="A47" s="2" t="s">
        <v>65</v>
      </c>
      <c r="B47" s="3">
        <v>45761.0</v>
      </c>
      <c r="C47" s="2" t="s">
        <v>19</v>
      </c>
      <c r="D47" s="2" t="s">
        <v>20</v>
      </c>
      <c r="E47" s="2">
        <v>1860.76</v>
      </c>
      <c r="F47" s="2">
        <f t="shared" si="1"/>
        <v>1860.76</v>
      </c>
      <c r="G47" s="2" t="b">
        <f t="shared" si="2"/>
        <v>0</v>
      </c>
    </row>
    <row r="48" ht="15.75" customHeight="1">
      <c r="A48" s="2" t="s">
        <v>66</v>
      </c>
      <c r="B48" s="3">
        <v>45958.0</v>
      </c>
      <c r="C48" s="2" t="s">
        <v>17</v>
      </c>
      <c r="D48" s="2" t="s">
        <v>7</v>
      </c>
      <c r="E48" s="2">
        <v>1559.2</v>
      </c>
      <c r="F48" s="2">
        <f t="shared" si="1"/>
        <v>1559.2</v>
      </c>
      <c r="G48" s="2" t="b">
        <f t="shared" si="2"/>
        <v>0</v>
      </c>
    </row>
    <row r="49" ht="15.75" customHeight="1">
      <c r="A49" s="2" t="s">
        <v>67</v>
      </c>
      <c r="B49" s="3">
        <v>45658.0</v>
      </c>
      <c r="C49" s="2" t="s">
        <v>23</v>
      </c>
      <c r="D49" s="2" t="s">
        <v>15</v>
      </c>
      <c r="E49" s="2">
        <v>882.77</v>
      </c>
      <c r="F49" s="2">
        <f t="shared" si="1"/>
        <v>882.77</v>
      </c>
      <c r="G49" s="2" t="b">
        <f t="shared" si="2"/>
        <v>0</v>
      </c>
    </row>
    <row r="50" ht="15.75" customHeight="1">
      <c r="A50" s="2" t="s">
        <v>68</v>
      </c>
      <c r="B50" s="3">
        <v>45774.0</v>
      </c>
      <c r="C50" s="2" t="s">
        <v>6</v>
      </c>
      <c r="D50" s="2" t="s">
        <v>15</v>
      </c>
      <c r="E50" s="2">
        <v>1817.12</v>
      </c>
      <c r="F50" s="2">
        <f t="shared" si="1"/>
        <v>1817.12</v>
      </c>
      <c r="G50" s="2" t="b">
        <f t="shared" si="2"/>
        <v>0</v>
      </c>
    </row>
    <row r="51" ht="15.75" customHeight="1">
      <c r="A51" s="2" t="s">
        <v>69</v>
      </c>
      <c r="B51" s="3">
        <v>46020.0</v>
      </c>
      <c r="C51" s="2" t="s">
        <v>19</v>
      </c>
      <c r="D51" s="2" t="s">
        <v>22</v>
      </c>
      <c r="E51" s="2">
        <v>4676.55</v>
      </c>
      <c r="F51" s="2">
        <f t="shared" si="1"/>
        <v>4676.55</v>
      </c>
      <c r="G51" s="2" t="b">
        <f t="shared" si="2"/>
        <v>0</v>
      </c>
    </row>
    <row r="52" ht="15.75" customHeight="1">
      <c r="A52" s="2" t="s">
        <v>70</v>
      </c>
      <c r="B52" s="3">
        <v>45798.0</v>
      </c>
      <c r="C52" s="2" t="s">
        <v>19</v>
      </c>
      <c r="D52" s="2" t="s">
        <v>20</v>
      </c>
      <c r="E52" s="2">
        <v>3888.83</v>
      </c>
      <c r="F52" s="2">
        <f t="shared" si="1"/>
        <v>3888.83</v>
      </c>
      <c r="G52" s="2" t="b">
        <f t="shared" si="2"/>
        <v>0</v>
      </c>
    </row>
    <row r="53" ht="15.75" customHeight="1">
      <c r="A53" s="2" t="s">
        <v>71</v>
      </c>
      <c r="B53" s="3">
        <v>45931.0</v>
      </c>
      <c r="C53" s="2" t="s">
        <v>6</v>
      </c>
      <c r="D53" s="2" t="s">
        <v>13</v>
      </c>
      <c r="E53" s="2">
        <v>4545.25</v>
      </c>
      <c r="F53" s="2">
        <f t="shared" si="1"/>
        <v>4545.25</v>
      </c>
      <c r="G53" s="2" t="b">
        <f t="shared" si="2"/>
        <v>0</v>
      </c>
    </row>
    <row r="54" ht="15.75" customHeight="1">
      <c r="A54" s="2" t="s">
        <v>72</v>
      </c>
      <c r="B54" s="3">
        <v>45906.0</v>
      </c>
      <c r="C54" s="2" t="s">
        <v>17</v>
      </c>
      <c r="D54" s="2" t="s">
        <v>13</v>
      </c>
      <c r="E54" s="2">
        <v>460.17</v>
      </c>
      <c r="F54" s="2">
        <f t="shared" si="1"/>
        <v>460.17</v>
      </c>
      <c r="G54" s="2" t="b">
        <f t="shared" si="2"/>
        <v>0</v>
      </c>
    </row>
    <row r="55" ht="15.75" customHeight="1">
      <c r="A55" s="2" t="s">
        <v>73</v>
      </c>
      <c r="B55" s="3">
        <v>45861.0</v>
      </c>
      <c r="C55" s="2" t="s">
        <v>23</v>
      </c>
      <c r="D55" s="2" t="s">
        <v>13</v>
      </c>
      <c r="E55" s="2">
        <v>1922.84</v>
      </c>
      <c r="F55" s="2">
        <f t="shared" si="1"/>
        <v>1922.84</v>
      </c>
      <c r="G55" s="2" t="b">
        <f t="shared" si="2"/>
        <v>0</v>
      </c>
    </row>
    <row r="56" ht="15.75" customHeight="1">
      <c r="A56" s="2" t="s">
        <v>74</v>
      </c>
      <c r="B56" s="3">
        <v>46011.0</v>
      </c>
      <c r="C56" s="2" t="s">
        <v>6</v>
      </c>
      <c r="D56" s="2" t="s">
        <v>15</v>
      </c>
      <c r="E56" s="2">
        <v>1764.05</v>
      </c>
      <c r="F56" s="2">
        <f t="shared" si="1"/>
        <v>1764.05</v>
      </c>
      <c r="G56" s="2" t="b">
        <f t="shared" si="2"/>
        <v>0</v>
      </c>
    </row>
    <row r="57" ht="15.75" customHeight="1">
      <c r="A57" s="2" t="s">
        <v>75</v>
      </c>
      <c r="B57" s="3">
        <v>45810.0</v>
      </c>
      <c r="C57" s="2" t="s">
        <v>12</v>
      </c>
      <c r="D57" s="2" t="s">
        <v>22</v>
      </c>
      <c r="E57" s="2">
        <v>745.14</v>
      </c>
      <c r="F57" s="2">
        <f t="shared" si="1"/>
        <v>745.14</v>
      </c>
      <c r="G57" s="2" t="b">
        <f t="shared" si="2"/>
        <v>0</v>
      </c>
    </row>
    <row r="58" ht="15.75" customHeight="1">
      <c r="A58" s="2" t="s">
        <v>76</v>
      </c>
      <c r="B58" s="3">
        <v>45822.0</v>
      </c>
      <c r="C58" s="2" t="s">
        <v>6</v>
      </c>
      <c r="D58" s="2" t="s">
        <v>7</v>
      </c>
      <c r="E58" s="2">
        <v>4361.57</v>
      </c>
      <c r="F58" s="2">
        <f t="shared" si="1"/>
        <v>4361.57</v>
      </c>
      <c r="G58" s="2" t="b">
        <f t="shared" si="2"/>
        <v>0</v>
      </c>
    </row>
    <row r="59" ht="15.75" customHeight="1">
      <c r="A59" s="2" t="s">
        <v>77</v>
      </c>
      <c r="B59" s="3">
        <v>45849.0</v>
      </c>
      <c r="C59" s="2" t="s">
        <v>19</v>
      </c>
      <c r="D59" s="2" t="s">
        <v>13</v>
      </c>
      <c r="E59" s="2">
        <v>286.36</v>
      </c>
      <c r="F59" s="2">
        <f t="shared" si="1"/>
        <v>286.36</v>
      </c>
      <c r="G59" s="2" t="b">
        <f t="shared" si="2"/>
        <v>0</v>
      </c>
    </row>
    <row r="60" ht="15.75" customHeight="1">
      <c r="A60" s="2" t="s">
        <v>78</v>
      </c>
      <c r="B60" s="3">
        <v>45933.0</v>
      </c>
      <c r="C60" s="2" t="s">
        <v>19</v>
      </c>
      <c r="D60" s="2" t="s">
        <v>28</v>
      </c>
      <c r="E60" s="2">
        <v>1084.06</v>
      </c>
      <c r="F60" s="2">
        <f t="shared" si="1"/>
        <v>1084.06</v>
      </c>
      <c r="G60" s="2" t="b">
        <f t="shared" si="2"/>
        <v>0</v>
      </c>
    </row>
    <row r="61" ht="15.75" customHeight="1">
      <c r="A61" s="2" t="s">
        <v>79</v>
      </c>
      <c r="B61" s="3">
        <v>45688.0</v>
      </c>
      <c r="C61" s="2" t="s">
        <v>19</v>
      </c>
      <c r="D61" s="2" t="s">
        <v>25</v>
      </c>
      <c r="E61" s="2">
        <v>2533.66</v>
      </c>
      <c r="F61" s="2">
        <f t="shared" si="1"/>
        <v>2533.66</v>
      </c>
      <c r="G61" s="2" t="b">
        <f t="shared" si="2"/>
        <v>0</v>
      </c>
    </row>
    <row r="62" ht="15.75" customHeight="1">
      <c r="A62" s="2" t="s">
        <v>80</v>
      </c>
      <c r="B62" s="3">
        <v>45668.0</v>
      </c>
      <c r="C62" s="2" t="s">
        <v>17</v>
      </c>
      <c r="D62" s="2" t="s">
        <v>13</v>
      </c>
      <c r="E62" s="2">
        <v>4779.85</v>
      </c>
      <c r="F62" s="2">
        <f t="shared" si="1"/>
        <v>4779.85</v>
      </c>
      <c r="G62" s="2" t="b">
        <f t="shared" si="2"/>
        <v>0</v>
      </c>
    </row>
    <row r="63" ht="15.75" customHeight="1">
      <c r="A63" s="2" t="s">
        <v>81</v>
      </c>
      <c r="B63" s="3">
        <v>45761.0</v>
      </c>
      <c r="C63" s="2" t="s">
        <v>6</v>
      </c>
      <c r="D63" s="2" t="s">
        <v>25</v>
      </c>
      <c r="E63" s="2">
        <v>183.97</v>
      </c>
      <c r="F63" s="2">
        <f t="shared" si="1"/>
        <v>183.97</v>
      </c>
      <c r="G63" s="2" t="b">
        <f t="shared" si="2"/>
        <v>0</v>
      </c>
    </row>
    <row r="64" ht="15.75" customHeight="1">
      <c r="A64" s="2" t="s">
        <v>82</v>
      </c>
      <c r="B64" s="3">
        <v>45934.0</v>
      </c>
      <c r="C64" s="2" t="s">
        <v>19</v>
      </c>
      <c r="D64" s="2" t="s">
        <v>15</v>
      </c>
      <c r="E64" s="2">
        <v>3838.01</v>
      </c>
      <c r="F64" s="2">
        <f t="shared" si="1"/>
        <v>3838.01</v>
      </c>
      <c r="G64" s="2" t="b">
        <f t="shared" si="2"/>
        <v>0</v>
      </c>
    </row>
    <row r="65" ht="15.75" customHeight="1">
      <c r="A65" s="2" t="s">
        <v>83</v>
      </c>
      <c r="B65" s="3">
        <v>45922.0</v>
      </c>
      <c r="C65" s="2" t="s">
        <v>17</v>
      </c>
      <c r="D65" s="2" t="s">
        <v>15</v>
      </c>
      <c r="E65" s="2">
        <v>1518.21</v>
      </c>
      <c r="F65" s="2">
        <f t="shared" si="1"/>
        <v>1518.21</v>
      </c>
      <c r="G65" s="2" t="b">
        <f t="shared" si="2"/>
        <v>0</v>
      </c>
    </row>
    <row r="66" ht="15.75" customHeight="1">
      <c r="A66" s="2" t="s">
        <v>84</v>
      </c>
      <c r="B66" s="3">
        <v>46000.0</v>
      </c>
      <c r="C66" s="2" t="s">
        <v>23</v>
      </c>
      <c r="D66" s="2" t="s">
        <v>28</v>
      </c>
      <c r="E66" s="2">
        <v>2855.83</v>
      </c>
      <c r="F66" s="2">
        <f t="shared" si="1"/>
        <v>2855.83</v>
      </c>
      <c r="G66" s="2" t="b">
        <f t="shared" si="2"/>
        <v>0</v>
      </c>
    </row>
    <row r="67" ht="15.75" customHeight="1">
      <c r="A67" s="2" t="s">
        <v>85</v>
      </c>
      <c r="B67" s="3">
        <v>45940.0</v>
      </c>
      <c r="C67" s="2" t="s">
        <v>17</v>
      </c>
      <c r="D67" s="2" t="s">
        <v>15</v>
      </c>
      <c r="E67" s="2">
        <v>506.97</v>
      </c>
      <c r="F67" s="2">
        <f t="shared" si="1"/>
        <v>506.97</v>
      </c>
      <c r="G67" s="2" t="b">
        <f t="shared" si="2"/>
        <v>0</v>
      </c>
    </row>
    <row r="68" ht="15.75" customHeight="1">
      <c r="A68" s="2" t="s">
        <v>86</v>
      </c>
      <c r="B68" s="3">
        <v>46001.0</v>
      </c>
      <c r="C68" s="2" t="s">
        <v>12</v>
      </c>
      <c r="D68" s="2" t="s">
        <v>13</v>
      </c>
      <c r="E68" s="2">
        <v>3205.48</v>
      </c>
      <c r="F68" s="2">
        <f t="shared" si="1"/>
        <v>3205.48</v>
      </c>
      <c r="G68" s="2" t="b">
        <f t="shared" si="2"/>
        <v>0</v>
      </c>
    </row>
    <row r="69" ht="15.75" customHeight="1">
      <c r="A69" s="2" t="s">
        <v>87</v>
      </c>
      <c r="B69" s="3">
        <v>45832.0</v>
      </c>
      <c r="C69" s="2" t="s">
        <v>12</v>
      </c>
      <c r="D69" s="2" t="s">
        <v>7</v>
      </c>
      <c r="E69" s="2">
        <v>1808.04</v>
      </c>
      <c r="F69" s="2">
        <f t="shared" si="1"/>
        <v>1808.04</v>
      </c>
      <c r="G69" s="2" t="b">
        <f t="shared" si="2"/>
        <v>0</v>
      </c>
    </row>
    <row r="70" ht="15.75" customHeight="1">
      <c r="A70" s="2" t="s">
        <v>88</v>
      </c>
      <c r="B70" s="3">
        <v>45705.0</v>
      </c>
      <c r="C70" s="2" t="s">
        <v>23</v>
      </c>
      <c r="D70" s="2" t="s">
        <v>20</v>
      </c>
      <c r="E70" s="2">
        <v>2835.22</v>
      </c>
      <c r="F70" s="2">
        <f t="shared" si="1"/>
        <v>2835.22</v>
      </c>
      <c r="G70" s="2" t="b">
        <f t="shared" si="2"/>
        <v>0</v>
      </c>
    </row>
    <row r="71" ht="15.75" customHeight="1">
      <c r="A71" s="2" t="s">
        <v>89</v>
      </c>
      <c r="B71" s="3">
        <v>45887.0</v>
      </c>
      <c r="C71" s="2" t="s">
        <v>12</v>
      </c>
      <c r="D71" s="2" t="s">
        <v>15</v>
      </c>
      <c r="E71" s="2">
        <v>4049.2</v>
      </c>
      <c r="F71" s="2">
        <f t="shared" si="1"/>
        <v>4049.2</v>
      </c>
      <c r="G71" s="2" t="b">
        <f t="shared" si="2"/>
        <v>0</v>
      </c>
    </row>
    <row r="72" ht="15.75" customHeight="1">
      <c r="A72" s="2" t="s">
        <v>90</v>
      </c>
      <c r="B72" s="3">
        <v>45872.0</v>
      </c>
      <c r="C72" s="2" t="s">
        <v>17</v>
      </c>
      <c r="D72" s="2" t="s">
        <v>28</v>
      </c>
      <c r="E72" s="2">
        <v>4781.1</v>
      </c>
      <c r="F72" s="2">
        <f t="shared" si="1"/>
        <v>4781.1</v>
      </c>
      <c r="G72" s="2" t="b">
        <f t="shared" si="2"/>
        <v>0</v>
      </c>
    </row>
    <row r="73" ht="15.75" customHeight="1">
      <c r="A73" s="2" t="s">
        <v>91</v>
      </c>
      <c r="B73" s="3">
        <v>45795.0</v>
      </c>
      <c r="C73" s="2" t="s">
        <v>19</v>
      </c>
      <c r="D73" s="2" t="s">
        <v>28</v>
      </c>
      <c r="E73" s="2">
        <v>3153.61</v>
      </c>
      <c r="F73" s="2">
        <f t="shared" si="1"/>
        <v>3153.61</v>
      </c>
      <c r="G73" s="2" t="b">
        <f t="shared" si="2"/>
        <v>0</v>
      </c>
    </row>
    <row r="74" ht="15.75" customHeight="1">
      <c r="A74" s="2" t="s">
        <v>92</v>
      </c>
      <c r="B74" s="3">
        <v>45831.0</v>
      </c>
      <c r="C74" s="2" t="s">
        <v>19</v>
      </c>
      <c r="D74" s="2" t="s">
        <v>28</v>
      </c>
      <c r="E74" s="2">
        <v>438.75</v>
      </c>
      <c r="F74" s="2">
        <f t="shared" si="1"/>
        <v>438.75</v>
      </c>
      <c r="G74" s="2" t="b">
        <f t="shared" si="2"/>
        <v>0</v>
      </c>
    </row>
    <row r="75" ht="15.75" customHeight="1">
      <c r="A75" s="2" t="s">
        <v>93</v>
      </c>
      <c r="B75" s="3">
        <v>45716.0</v>
      </c>
      <c r="C75" s="2" t="s">
        <v>12</v>
      </c>
      <c r="D75" s="2" t="s">
        <v>22</v>
      </c>
      <c r="E75" s="2">
        <v>2146.53</v>
      </c>
      <c r="F75" s="2">
        <f t="shared" si="1"/>
        <v>2146.53</v>
      </c>
      <c r="G75" s="2" t="b">
        <f t="shared" si="2"/>
        <v>0</v>
      </c>
    </row>
    <row r="76" ht="15.75" customHeight="1">
      <c r="A76" s="2" t="s">
        <v>94</v>
      </c>
      <c r="B76" s="3">
        <v>45897.0</v>
      </c>
      <c r="C76" s="2" t="s">
        <v>12</v>
      </c>
      <c r="D76" s="2" t="s">
        <v>20</v>
      </c>
      <c r="E76" s="2">
        <v>1402.83</v>
      </c>
      <c r="F76" s="2">
        <f t="shared" si="1"/>
        <v>1402.83</v>
      </c>
      <c r="G76" s="2" t="b">
        <f t="shared" si="2"/>
        <v>0</v>
      </c>
    </row>
    <row r="77" ht="15.75" customHeight="1">
      <c r="A77" s="2" t="s">
        <v>95</v>
      </c>
      <c r="B77" s="3">
        <v>45750.0</v>
      </c>
      <c r="C77" s="2" t="s">
        <v>23</v>
      </c>
      <c r="D77" s="2" t="s">
        <v>28</v>
      </c>
      <c r="E77" s="2">
        <v>3913.28</v>
      </c>
      <c r="F77" s="2">
        <f t="shared" si="1"/>
        <v>3913.28</v>
      </c>
      <c r="G77" s="2" t="b">
        <f t="shared" si="2"/>
        <v>0</v>
      </c>
    </row>
    <row r="78" ht="15.75" customHeight="1">
      <c r="A78" s="2" t="s">
        <v>96</v>
      </c>
      <c r="B78" s="3">
        <v>45771.0</v>
      </c>
      <c r="C78" s="2" t="s">
        <v>19</v>
      </c>
      <c r="D78" s="2" t="s">
        <v>28</v>
      </c>
      <c r="E78" s="2">
        <v>4036.15</v>
      </c>
      <c r="F78" s="2">
        <f t="shared" si="1"/>
        <v>4036.15</v>
      </c>
      <c r="G78" s="2" t="b">
        <f t="shared" si="2"/>
        <v>0</v>
      </c>
    </row>
    <row r="79" ht="15.75" customHeight="1">
      <c r="A79" s="2" t="s">
        <v>97</v>
      </c>
      <c r="B79" s="3">
        <v>45686.0</v>
      </c>
      <c r="C79" s="2" t="s">
        <v>23</v>
      </c>
      <c r="D79" s="2" t="s">
        <v>25</v>
      </c>
      <c r="E79" s="2">
        <v>3037.2</v>
      </c>
      <c r="F79" s="2">
        <f t="shared" si="1"/>
        <v>3037.2</v>
      </c>
      <c r="G79" s="2" t="b">
        <f t="shared" si="2"/>
        <v>0</v>
      </c>
    </row>
    <row r="80" ht="15.75" customHeight="1">
      <c r="A80" s="2" t="s">
        <v>98</v>
      </c>
      <c r="B80" s="3">
        <v>45661.0</v>
      </c>
      <c r="C80" s="2" t="s">
        <v>12</v>
      </c>
      <c r="D80" s="2" t="s">
        <v>25</v>
      </c>
      <c r="E80" s="2">
        <v>2344.16</v>
      </c>
      <c r="F80" s="2">
        <f t="shared" si="1"/>
        <v>2344.16</v>
      </c>
      <c r="G80" s="2" t="b">
        <f t="shared" si="2"/>
        <v>0</v>
      </c>
    </row>
    <row r="81" ht="15.75" customHeight="1">
      <c r="A81" s="2" t="s">
        <v>99</v>
      </c>
      <c r="B81" s="3">
        <v>45997.0</v>
      </c>
      <c r="C81" s="2" t="s">
        <v>19</v>
      </c>
      <c r="D81" s="2" t="s">
        <v>22</v>
      </c>
      <c r="E81" s="2">
        <v>856.74</v>
      </c>
      <c r="F81" s="2">
        <f t="shared" si="1"/>
        <v>856.74</v>
      </c>
      <c r="G81" s="2" t="b">
        <f t="shared" si="2"/>
        <v>0</v>
      </c>
    </row>
    <row r="82" ht="15.75" customHeight="1">
      <c r="A82" s="2" t="s">
        <v>100</v>
      </c>
      <c r="B82" s="3">
        <v>45998.0</v>
      </c>
      <c r="C82" s="2" t="s">
        <v>17</v>
      </c>
      <c r="D82" s="2" t="s">
        <v>28</v>
      </c>
      <c r="E82" s="2">
        <v>1784.01</v>
      </c>
      <c r="F82" s="2">
        <f t="shared" si="1"/>
        <v>1784.01</v>
      </c>
      <c r="G82" s="2" t="b">
        <f t="shared" si="2"/>
        <v>0</v>
      </c>
    </row>
    <row r="83" ht="15.75" customHeight="1">
      <c r="A83" s="2" t="s">
        <v>101</v>
      </c>
      <c r="B83" s="3">
        <v>45961.0</v>
      </c>
      <c r="C83" s="2" t="s">
        <v>12</v>
      </c>
      <c r="D83" s="2" t="s">
        <v>15</v>
      </c>
      <c r="E83" s="2">
        <v>2554.8</v>
      </c>
      <c r="F83" s="2">
        <f t="shared" si="1"/>
        <v>2554.8</v>
      </c>
      <c r="G83" s="2" t="b">
        <f t="shared" si="2"/>
        <v>0</v>
      </c>
    </row>
    <row r="84" ht="15.75" customHeight="1">
      <c r="A84" s="2" t="s">
        <v>102</v>
      </c>
      <c r="B84" s="3">
        <v>45672.0</v>
      </c>
      <c r="C84" s="2" t="s">
        <v>12</v>
      </c>
      <c r="D84" s="2" t="s">
        <v>13</v>
      </c>
      <c r="E84" s="2">
        <v>2880.3</v>
      </c>
      <c r="F84" s="2">
        <f t="shared" si="1"/>
        <v>2880.3</v>
      </c>
      <c r="G84" s="2" t="b">
        <f t="shared" si="2"/>
        <v>0</v>
      </c>
    </row>
    <row r="85" ht="15.75" customHeight="1">
      <c r="A85" s="2" t="s">
        <v>103</v>
      </c>
      <c r="B85" s="3">
        <v>45908.0</v>
      </c>
      <c r="C85" s="2" t="s">
        <v>6</v>
      </c>
      <c r="D85" s="2" t="s">
        <v>28</v>
      </c>
      <c r="E85" s="2">
        <v>272.32</v>
      </c>
      <c r="F85" s="2">
        <f t="shared" si="1"/>
        <v>272.32</v>
      </c>
      <c r="G85" s="2" t="b">
        <f t="shared" si="2"/>
        <v>0</v>
      </c>
    </row>
    <row r="86" ht="15.75" customHeight="1">
      <c r="A86" s="2" t="s">
        <v>104</v>
      </c>
      <c r="B86" s="3">
        <v>45855.0</v>
      </c>
      <c r="C86" s="2" t="s">
        <v>17</v>
      </c>
      <c r="D86" s="2" t="s">
        <v>25</v>
      </c>
      <c r="E86" s="2">
        <v>3319.89</v>
      </c>
      <c r="F86" s="2">
        <f t="shared" si="1"/>
        <v>3319.89</v>
      </c>
      <c r="G86" s="2" t="b">
        <f t="shared" si="2"/>
        <v>0</v>
      </c>
    </row>
    <row r="87" ht="15.75" customHeight="1">
      <c r="A87" s="2" t="s">
        <v>105</v>
      </c>
      <c r="B87" s="3">
        <v>45855.0</v>
      </c>
      <c r="C87" s="2" t="s">
        <v>19</v>
      </c>
      <c r="D87" s="2" t="s">
        <v>7</v>
      </c>
      <c r="E87" s="2">
        <v>1556.64</v>
      </c>
      <c r="F87" s="2">
        <f t="shared" si="1"/>
        <v>1556.64</v>
      </c>
      <c r="G87" s="2" t="b">
        <f t="shared" si="2"/>
        <v>0</v>
      </c>
    </row>
    <row r="88" ht="15.75" customHeight="1">
      <c r="A88" s="2" t="s">
        <v>106</v>
      </c>
      <c r="B88" s="3">
        <v>45778.0</v>
      </c>
      <c r="C88" s="2" t="s">
        <v>23</v>
      </c>
      <c r="D88" s="2" t="s">
        <v>20</v>
      </c>
      <c r="E88" s="2">
        <v>3018.49</v>
      </c>
      <c r="F88" s="2">
        <f t="shared" si="1"/>
        <v>3018.49</v>
      </c>
      <c r="G88" s="2" t="b">
        <f t="shared" si="2"/>
        <v>0</v>
      </c>
    </row>
    <row r="89" ht="15.75" customHeight="1">
      <c r="A89" s="2" t="s">
        <v>107</v>
      </c>
      <c r="B89" s="3">
        <v>45920.0</v>
      </c>
      <c r="C89" s="2" t="s">
        <v>19</v>
      </c>
      <c r="D89" s="2" t="s">
        <v>7</v>
      </c>
      <c r="E89" s="2">
        <v>3078.27</v>
      </c>
      <c r="F89" s="2">
        <f t="shared" si="1"/>
        <v>3078.27</v>
      </c>
      <c r="G89" s="2" t="b">
        <f t="shared" si="2"/>
        <v>0</v>
      </c>
    </row>
    <row r="90" ht="15.75" customHeight="1">
      <c r="A90" s="2" t="s">
        <v>108</v>
      </c>
      <c r="B90" s="3">
        <v>45761.0</v>
      </c>
      <c r="C90" s="2" t="s">
        <v>12</v>
      </c>
      <c r="D90" s="2" t="s">
        <v>7</v>
      </c>
      <c r="E90" s="2">
        <v>2437.89</v>
      </c>
      <c r="F90" s="2">
        <f t="shared" si="1"/>
        <v>2437.89</v>
      </c>
      <c r="G90" s="2" t="b">
        <f t="shared" si="2"/>
        <v>0</v>
      </c>
    </row>
    <row r="91" ht="15.75" customHeight="1">
      <c r="A91" s="2" t="s">
        <v>109</v>
      </c>
      <c r="B91" s="3">
        <v>45887.0</v>
      </c>
      <c r="C91" s="2" t="s">
        <v>12</v>
      </c>
      <c r="D91" s="2" t="s">
        <v>25</v>
      </c>
      <c r="E91" s="2">
        <v>3351.05</v>
      </c>
      <c r="F91" s="2">
        <f t="shared" si="1"/>
        <v>3351.05</v>
      </c>
      <c r="G91" s="2" t="b">
        <f t="shared" si="2"/>
        <v>0</v>
      </c>
    </row>
    <row r="92" ht="15.75" customHeight="1">
      <c r="A92" s="2" t="s">
        <v>110</v>
      </c>
      <c r="B92" s="3">
        <v>45729.0</v>
      </c>
      <c r="C92" s="2" t="s">
        <v>17</v>
      </c>
      <c r="D92" s="2" t="s">
        <v>25</v>
      </c>
      <c r="E92" s="2">
        <v>3008.86</v>
      </c>
      <c r="F92" s="2">
        <f t="shared" si="1"/>
        <v>3008.86</v>
      </c>
      <c r="G92" s="2" t="b">
        <f t="shared" si="2"/>
        <v>0</v>
      </c>
    </row>
    <row r="93" ht="15.75" customHeight="1">
      <c r="A93" s="2" t="s">
        <v>111</v>
      </c>
      <c r="B93" s="3">
        <v>46015.0</v>
      </c>
      <c r="C93" s="2" t="s">
        <v>6</v>
      </c>
      <c r="D93" s="2" t="s">
        <v>13</v>
      </c>
      <c r="E93" s="2">
        <v>4154.78</v>
      </c>
      <c r="F93" s="2">
        <f t="shared" si="1"/>
        <v>4154.78</v>
      </c>
      <c r="G93" s="2" t="b">
        <f t="shared" si="2"/>
        <v>0</v>
      </c>
    </row>
    <row r="94" ht="15.75" customHeight="1">
      <c r="A94" s="2" t="s">
        <v>112</v>
      </c>
      <c r="B94" s="3">
        <v>45902.0</v>
      </c>
      <c r="C94" s="2" t="s">
        <v>17</v>
      </c>
      <c r="D94" s="2" t="s">
        <v>22</v>
      </c>
      <c r="E94" s="2">
        <v>1735.68</v>
      </c>
      <c r="F94" s="2">
        <f t="shared" si="1"/>
        <v>1735.68</v>
      </c>
      <c r="G94" s="2" t="b">
        <f t="shared" si="2"/>
        <v>0</v>
      </c>
    </row>
    <row r="95" ht="15.75" customHeight="1">
      <c r="A95" s="2" t="s">
        <v>113</v>
      </c>
      <c r="B95" s="3">
        <v>45821.0</v>
      </c>
      <c r="C95" s="2" t="s">
        <v>6</v>
      </c>
      <c r="D95" s="2" t="s">
        <v>25</v>
      </c>
      <c r="E95" s="2">
        <v>1487.18</v>
      </c>
      <c r="F95" s="2">
        <f t="shared" si="1"/>
        <v>1487.18</v>
      </c>
      <c r="G95" s="2" t="b">
        <f t="shared" si="2"/>
        <v>0</v>
      </c>
    </row>
    <row r="96" ht="15.75" customHeight="1">
      <c r="A96" s="2" t="s">
        <v>114</v>
      </c>
      <c r="B96" s="3">
        <v>45865.0</v>
      </c>
      <c r="C96" s="2" t="s">
        <v>17</v>
      </c>
      <c r="D96" s="2" t="s">
        <v>25</v>
      </c>
      <c r="E96" s="2">
        <v>1509.72</v>
      </c>
      <c r="F96" s="2">
        <f t="shared" si="1"/>
        <v>1509.72</v>
      </c>
      <c r="G96" s="2" t="b">
        <f t="shared" si="2"/>
        <v>0</v>
      </c>
    </row>
    <row r="97" ht="15.75" customHeight="1">
      <c r="A97" s="2" t="s">
        <v>115</v>
      </c>
      <c r="B97" s="3">
        <v>45884.0</v>
      </c>
      <c r="C97" s="2" t="s">
        <v>12</v>
      </c>
      <c r="D97" s="2" t="s">
        <v>15</v>
      </c>
      <c r="E97" s="2">
        <v>2315.57</v>
      </c>
      <c r="F97" s="2">
        <f t="shared" si="1"/>
        <v>2315.57</v>
      </c>
      <c r="G97" s="2" t="b">
        <f t="shared" si="2"/>
        <v>0</v>
      </c>
    </row>
    <row r="98" ht="15.75" customHeight="1">
      <c r="A98" s="2" t="s">
        <v>116</v>
      </c>
      <c r="B98" s="3">
        <v>45996.0</v>
      </c>
      <c r="C98" s="2" t="s">
        <v>23</v>
      </c>
      <c r="D98" s="2" t="s">
        <v>7</v>
      </c>
      <c r="E98" s="2">
        <v>4536.61</v>
      </c>
      <c r="F98" s="2">
        <f t="shared" si="1"/>
        <v>4536.61</v>
      </c>
      <c r="G98" s="2" t="b">
        <f t="shared" si="2"/>
        <v>0</v>
      </c>
    </row>
    <row r="99" ht="15.75" customHeight="1">
      <c r="A99" s="2" t="s">
        <v>117</v>
      </c>
      <c r="B99" s="3">
        <v>45704.0</v>
      </c>
      <c r="C99" s="2" t="s">
        <v>19</v>
      </c>
      <c r="D99" s="2" t="s">
        <v>15</v>
      </c>
      <c r="E99" s="2">
        <v>1117.74</v>
      </c>
      <c r="F99" s="2">
        <f t="shared" si="1"/>
        <v>1117.74</v>
      </c>
      <c r="G99" s="2" t="b">
        <f t="shared" si="2"/>
        <v>0</v>
      </c>
    </row>
    <row r="100" ht="15.75" customHeight="1">
      <c r="A100" s="2" t="s">
        <v>118</v>
      </c>
      <c r="B100" s="3">
        <v>45789.0</v>
      </c>
      <c r="C100" s="2" t="s">
        <v>19</v>
      </c>
      <c r="D100" s="2" t="s">
        <v>15</v>
      </c>
      <c r="E100" s="2">
        <v>4854.36</v>
      </c>
      <c r="F100" s="2">
        <f t="shared" si="1"/>
        <v>4854.36</v>
      </c>
      <c r="G100" s="2" t="b">
        <f t="shared" si="2"/>
        <v>0</v>
      </c>
    </row>
    <row r="101" ht="15.75" customHeight="1">
      <c r="A101" s="2" t="s">
        <v>119</v>
      </c>
      <c r="B101" s="3">
        <v>45704.0</v>
      </c>
      <c r="C101" s="2" t="s">
        <v>19</v>
      </c>
      <c r="D101" s="2" t="s">
        <v>28</v>
      </c>
      <c r="E101" s="2">
        <v>806.36</v>
      </c>
      <c r="F101" s="2">
        <f t="shared" si="1"/>
        <v>806.36</v>
      </c>
      <c r="G101" s="2" t="b">
        <f t="shared" si="2"/>
        <v>0</v>
      </c>
    </row>
    <row r="102" ht="15.75" customHeight="1">
      <c r="A102" s="2" t="s">
        <v>120</v>
      </c>
      <c r="B102" s="3">
        <v>45943.0</v>
      </c>
      <c r="C102" s="2" t="s">
        <v>19</v>
      </c>
      <c r="D102" s="2" t="s">
        <v>25</v>
      </c>
      <c r="E102" s="2">
        <v>2581.23</v>
      </c>
      <c r="F102" s="2">
        <f t="shared" si="1"/>
        <v>2581.23</v>
      </c>
      <c r="G102" s="2" t="b">
        <f t="shared" si="2"/>
        <v>0</v>
      </c>
    </row>
    <row r="103" ht="15.75" customHeight="1">
      <c r="A103" s="2" t="s">
        <v>121</v>
      </c>
      <c r="B103" s="3">
        <v>45807.0</v>
      </c>
      <c r="C103" s="2" t="s">
        <v>19</v>
      </c>
      <c r="D103" s="2" t="s">
        <v>15</v>
      </c>
      <c r="E103" s="2">
        <v>2845.76</v>
      </c>
      <c r="F103" s="2">
        <f t="shared" si="1"/>
        <v>2845.76</v>
      </c>
      <c r="G103" s="2" t="b">
        <f t="shared" si="2"/>
        <v>0</v>
      </c>
    </row>
    <row r="104" ht="15.75" customHeight="1">
      <c r="A104" s="2" t="s">
        <v>122</v>
      </c>
      <c r="B104" s="3">
        <v>45679.0</v>
      </c>
      <c r="C104" s="2" t="s">
        <v>19</v>
      </c>
      <c r="D104" s="2" t="s">
        <v>7</v>
      </c>
      <c r="E104" s="2">
        <v>621.46</v>
      </c>
      <c r="F104" s="2">
        <f t="shared" si="1"/>
        <v>621.46</v>
      </c>
      <c r="G104" s="2" t="b">
        <f t="shared" si="2"/>
        <v>0</v>
      </c>
    </row>
    <row r="105" ht="15.75" customHeight="1">
      <c r="A105" s="2" t="s">
        <v>123</v>
      </c>
      <c r="B105" s="3">
        <v>45681.0</v>
      </c>
      <c r="C105" s="2" t="s">
        <v>12</v>
      </c>
      <c r="D105" s="2" t="s">
        <v>15</v>
      </c>
      <c r="E105" s="2">
        <v>785.86</v>
      </c>
      <c r="F105" s="2">
        <f t="shared" si="1"/>
        <v>785.86</v>
      </c>
      <c r="G105" s="2" t="b">
        <f t="shared" si="2"/>
        <v>0</v>
      </c>
    </row>
    <row r="106" ht="15.75" customHeight="1">
      <c r="A106" s="2" t="s">
        <v>124</v>
      </c>
      <c r="B106" s="3">
        <v>45893.0</v>
      </c>
      <c r="C106" s="2" t="s">
        <v>19</v>
      </c>
      <c r="D106" s="2" t="s">
        <v>15</v>
      </c>
      <c r="E106" s="2">
        <v>3073.89</v>
      </c>
      <c r="F106" s="2">
        <f t="shared" si="1"/>
        <v>3073.89</v>
      </c>
      <c r="G106" s="2" t="b">
        <f t="shared" si="2"/>
        <v>0</v>
      </c>
    </row>
    <row r="107" ht="15.75" customHeight="1">
      <c r="A107" s="2" t="s">
        <v>125</v>
      </c>
      <c r="B107" s="3">
        <v>45912.0</v>
      </c>
      <c r="C107" s="2" t="s">
        <v>17</v>
      </c>
      <c r="D107" s="2" t="s">
        <v>28</v>
      </c>
      <c r="E107" s="2">
        <v>3849.55</v>
      </c>
      <c r="F107" s="2">
        <f t="shared" si="1"/>
        <v>3849.55</v>
      </c>
      <c r="G107" s="2" t="b">
        <f t="shared" si="2"/>
        <v>0</v>
      </c>
    </row>
    <row r="108" ht="15.75" customHeight="1">
      <c r="A108" s="2" t="s">
        <v>126</v>
      </c>
      <c r="B108" s="3">
        <v>45752.0</v>
      </c>
      <c r="C108" s="2" t="s">
        <v>12</v>
      </c>
      <c r="D108" s="2" t="s">
        <v>13</v>
      </c>
      <c r="E108" s="2">
        <v>1362.56</v>
      </c>
      <c r="F108" s="2">
        <f t="shared" si="1"/>
        <v>1362.56</v>
      </c>
      <c r="G108" s="2" t="b">
        <f t="shared" si="2"/>
        <v>0</v>
      </c>
    </row>
    <row r="109" ht="15.75" customHeight="1">
      <c r="A109" s="2" t="s">
        <v>127</v>
      </c>
      <c r="B109" s="3">
        <v>46014.0</v>
      </c>
      <c r="C109" s="2" t="s">
        <v>6</v>
      </c>
      <c r="D109" s="2" t="s">
        <v>25</v>
      </c>
      <c r="E109" s="2">
        <v>344.29</v>
      </c>
      <c r="F109" s="2">
        <f t="shared" si="1"/>
        <v>344.29</v>
      </c>
      <c r="G109" s="2" t="b">
        <f t="shared" si="2"/>
        <v>0</v>
      </c>
    </row>
    <row r="110" ht="15.75" customHeight="1">
      <c r="A110" s="2" t="s">
        <v>128</v>
      </c>
      <c r="B110" s="3">
        <v>45857.0</v>
      </c>
      <c r="C110" s="2" t="s">
        <v>23</v>
      </c>
      <c r="D110" s="2" t="s">
        <v>22</v>
      </c>
      <c r="E110" s="2">
        <v>1144.89</v>
      </c>
      <c r="F110" s="2">
        <f t="shared" si="1"/>
        <v>1144.89</v>
      </c>
      <c r="G110" s="2" t="b">
        <f t="shared" si="2"/>
        <v>0</v>
      </c>
    </row>
    <row r="111" ht="15.75" customHeight="1">
      <c r="A111" s="2" t="s">
        <v>129</v>
      </c>
      <c r="B111" s="3">
        <v>45934.0</v>
      </c>
      <c r="C111" s="2" t="s">
        <v>19</v>
      </c>
      <c r="D111" s="2" t="s">
        <v>22</v>
      </c>
      <c r="E111" s="2">
        <v>1555.05</v>
      </c>
      <c r="F111" s="2">
        <f t="shared" si="1"/>
        <v>1555.05</v>
      </c>
      <c r="G111" s="2" t="b">
        <f t="shared" si="2"/>
        <v>0</v>
      </c>
    </row>
    <row r="112" ht="15.75" customHeight="1">
      <c r="A112" s="2" t="s">
        <v>130</v>
      </c>
      <c r="B112" s="3">
        <v>45685.0</v>
      </c>
      <c r="C112" s="2" t="s">
        <v>23</v>
      </c>
      <c r="D112" s="2" t="s">
        <v>25</v>
      </c>
      <c r="E112" s="2">
        <v>1442.69</v>
      </c>
      <c r="F112" s="2">
        <f t="shared" si="1"/>
        <v>1442.69</v>
      </c>
      <c r="G112" s="2" t="b">
        <f t="shared" si="2"/>
        <v>0</v>
      </c>
    </row>
    <row r="113" ht="15.75" customHeight="1">
      <c r="A113" s="2" t="s">
        <v>131</v>
      </c>
      <c r="B113" s="3">
        <v>45663.0</v>
      </c>
      <c r="C113" s="2" t="s">
        <v>12</v>
      </c>
      <c r="D113" s="2" t="s">
        <v>20</v>
      </c>
      <c r="E113" s="2">
        <v>655.41</v>
      </c>
      <c r="F113" s="2">
        <f t="shared" si="1"/>
        <v>655.41</v>
      </c>
      <c r="G113" s="2" t="b">
        <f t="shared" si="2"/>
        <v>0</v>
      </c>
    </row>
    <row r="114" ht="15.75" customHeight="1">
      <c r="A114" s="2" t="s">
        <v>132</v>
      </c>
      <c r="B114" s="3">
        <v>45963.0</v>
      </c>
      <c r="C114" s="2" t="s">
        <v>6</v>
      </c>
      <c r="D114" s="2" t="s">
        <v>25</v>
      </c>
      <c r="E114" s="2">
        <v>4323.83</v>
      </c>
      <c r="F114" s="2">
        <f t="shared" si="1"/>
        <v>4323.83</v>
      </c>
      <c r="G114" s="2" t="b">
        <f t="shared" si="2"/>
        <v>0</v>
      </c>
    </row>
    <row r="115" ht="15.75" customHeight="1">
      <c r="A115" s="2" t="s">
        <v>133</v>
      </c>
      <c r="B115" s="3">
        <v>45875.0</v>
      </c>
      <c r="C115" s="2" t="s">
        <v>17</v>
      </c>
      <c r="D115" s="2" t="s">
        <v>13</v>
      </c>
      <c r="E115" s="2">
        <v>134.53</v>
      </c>
      <c r="F115" s="2">
        <f t="shared" si="1"/>
        <v>134.53</v>
      </c>
      <c r="G115" s="2" t="b">
        <f t="shared" si="2"/>
        <v>0</v>
      </c>
    </row>
    <row r="116" ht="15.75" customHeight="1">
      <c r="A116" s="2" t="s">
        <v>134</v>
      </c>
      <c r="B116" s="3">
        <v>45849.0</v>
      </c>
      <c r="C116" s="2" t="s">
        <v>23</v>
      </c>
      <c r="D116" s="2" t="s">
        <v>28</v>
      </c>
      <c r="E116" s="2">
        <v>3412.46</v>
      </c>
      <c r="F116" s="2">
        <f t="shared" si="1"/>
        <v>3412.46</v>
      </c>
      <c r="G116" s="2" t="b">
        <f t="shared" si="2"/>
        <v>0</v>
      </c>
    </row>
    <row r="117" ht="15.75" customHeight="1">
      <c r="A117" s="2" t="s">
        <v>135</v>
      </c>
      <c r="B117" s="3">
        <v>45740.0</v>
      </c>
      <c r="C117" s="2" t="s">
        <v>12</v>
      </c>
      <c r="D117" s="2" t="s">
        <v>13</v>
      </c>
      <c r="E117" s="2">
        <v>3354.1</v>
      </c>
      <c r="F117" s="2">
        <f t="shared" si="1"/>
        <v>3354.1</v>
      </c>
      <c r="G117" s="2" t="b">
        <f t="shared" si="2"/>
        <v>0</v>
      </c>
    </row>
    <row r="118" ht="15.75" customHeight="1">
      <c r="A118" s="2" t="s">
        <v>136</v>
      </c>
      <c r="B118" s="3">
        <v>45735.0</v>
      </c>
      <c r="C118" s="2" t="s">
        <v>19</v>
      </c>
      <c r="D118" s="2" t="s">
        <v>20</v>
      </c>
      <c r="E118" s="2">
        <v>1310.39</v>
      </c>
      <c r="F118" s="2">
        <f t="shared" si="1"/>
        <v>1310.39</v>
      </c>
      <c r="G118" s="2" t="b">
        <f t="shared" si="2"/>
        <v>0</v>
      </c>
    </row>
    <row r="119" ht="15.75" customHeight="1">
      <c r="A119" s="2" t="s">
        <v>137</v>
      </c>
      <c r="B119" s="3">
        <v>46016.0</v>
      </c>
      <c r="C119" s="2" t="s">
        <v>12</v>
      </c>
      <c r="D119" s="2" t="s">
        <v>22</v>
      </c>
      <c r="E119" s="2">
        <v>586.86</v>
      </c>
      <c r="F119" s="2">
        <f t="shared" si="1"/>
        <v>586.86</v>
      </c>
      <c r="G119" s="2" t="b">
        <f t="shared" si="2"/>
        <v>0</v>
      </c>
    </row>
    <row r="120" ht="15.75" customHeight="1">
      <c r="A120" s="2" t="s">
        <v>138</v>
      </c>
      <c r="B120" s="3">
        <v>45789.0</v>
      </c>
      <c r="C120" s="2" t="s">
        <v>17</v>
      </c>
      <c r="D120" s="2" t="s">
        <v>15</v>
      </c>
      <c r="E120" s="2">
        <v>2072.53</v>
      </c>
      <c r="F120" s="2">
        <f t="shared" si="1"/>
        <v>2072.53</v>
      </c>
      <c r="G120" s="2" t="b">
        <f t="shared" si="2"/>
        <v>0</v>
      </c>
    </row>
    <row r="121" ht="15.75" customHeight="1">
      <c r="A121" s="2" t="s">
        <v>139</v>
      </c>
      <c r="B121" s="3">
        <v>45842.0</v>
      </c>
      <c r="C121" s="2" t="s">
        <v>23</v>
      </c>
      <c r="D121" s="2" t="s">
        <v>20</v>
      </c>
      <c r="E121" s="2">
        <v>535.59</v>
      </c>
      <c r="F121" s="2">
        <f t="shared" si="1"/>
        <v>535.59</v>
      </c>
      <c r="G121" s="2" t="b">
        <f t="shared" si="2"/>
        <v>0</v>
      </c>
    </row>
    <row r="122" ht="15.75" customHeight="1">
      <c r="A122" s="2" t="s">
        <v>140</v>
      </c>
      <c r="B122" s="3">
        <v>45800.0</v>
      </c>
      <c r="C122" s="2" t="s">
        <v>23</v>
      </c>
      <c r="D122" s="2" t="s">
        <v>15</v>
      </c>
      <c r="E122" s="2">
        <v>173.86</v>
      </c>
      <c r="F122" s="2">
        <f t="shared" si="1"/>
        <v>173.86</v>
      </c>
      <c r="G122" s="2" t="b">
        <f t="shared" si="2"/>
        <v>0</v>
      </c>
    </row>
    <row r="123" ht="15.75" customHeight="1">
      <c r="A123" s="2" t="s">
        <v>141</v>
      </c>
      <c r="B123" s="3">
        <v>45707.0</v>
      </c>
      <c r="C123" s="2" t="s">
        <v>12</v>
      </c>
      <c r="D123" s="2" t="s">
        <v>28</v>
      </c>
      <c r="E123" s="2">
        <v>4824.14</v>
      </c>
      <c r="F123" s="2">
        <f t="shared" si="1"/>
        <v>4824.14</v>
      </c>
      <c r="G123" s="2" t="b">
        <f t="shared" si="2"/>
        <v>0</v>
      </c>
    </row>
    <row r="124" ht="15.75" customHeight="1">
      <c r="A124" s="2" t="s">
        <v>142</v>
      </c>
      <c r="B124" s="3">
        <v>46001.0</v>
      </c>
      <c r="C124" s="2" t="s">
        <v>6</v>
      </c>
      <c r="D124" s="2" t="s">
        <v>20</v>
      </c>
      <c r="E124" s="2">
        <v>186.93</v>
      </c>
      <c r="F124" s="2">
        <f t="shared" si="1"/>
        <v>186.93</v>
      </c>
      <c r="G124" s="2" t="b">
        <f t="shared" si="2"/>
        <v>0</v>
      </c>
    </row>
    <row r="125" ht="15.75" customHeight="1">
      <c r="A125" s="2" t="s">
        <v>143</v>
      </c>
      <c r="B125" s="3">
        <v>45710.0</v>
      </c>
      <c r="C125" s="2" t="s">
        <v>6</v>
      </c>
      <c r="D125" s="2" t="s">
        <v>28</v>
      </c>
      <c r="E125" s="2">
        <v>178.77</v>
      </c>
      <c r="F125" s="2">
        <f t="shared" si="1"/>
        <v>178.77</v>
      </c>
      <c r="G125" s="2" t="b">
        <f t="shared" si="2"/>
        <v>0</v>
      </c>
    </row>
    <row r="126" ht="15.75" customHeight="1">
      <c r="A126" s="2" t="s">
        <v>144</v>
      </c>
      <c r="B126" s="3">
        <v>45911.0</v>
      </c>
      <c r="C126" s="2" t="s">
        <v>23</v>
      </c>
      <c r="D126" s="2" t="s">
        <v>15</v>
      </c>
      <c r="E126" s="2">
        <v>558.84</v>
      </c>
      <c r="F126" s="2">
        <f t="shared" si="1"/>
        <v>558.84</v>
      </c>
      <c r="G126" s="2" t="b">
        <f t="shared" si="2"/>
        <v>0</v>
      </c>
    </row>
    <row r="127" ht="15.75" customHeight="1">
      <c r="A127" s="2" t="s">
        <v>145</v>
      </c>
      <c r="B127" s="3">
        <v>45938.0</v>
      </c>
      <c r="C127" s="2" t="s">
        <v>17</v>
      </c>
      <c r="D127" s="2" t="s">
        <v>22</v>
      </c>
      <c r="E127" s="2">
        <v>3545.79</v>
      </c>
      <c r="F127" s="2">
        <f t="shared" si="1"/>
        <v>3545.79</v>
      </c>
      <c r="G127" s="2" t="b">
        <f t="shared" si="2"/>
        <v>0</v>
      </c>
    </row>
    <row r="128" ht="15.75" customHeight="1">
      <c r="A128" s="2" t="s">
        <v>146</v>
      </c>
      <c r="B128" s="3">
        <v>45838.0</v>
      </c>
      <c r="C128" s="2" t="s">
        <v>6</v>
      </c>
      <c r="D128" s="2" t="s">
        <v>22</v>
      </c>
      <c r="E128" s="2">
        <v>4316.25</v>
      </c>
      <c r="F128" s="2">
        <f t="shared" si="1"/>
        <v>4316.25</v>
      </c>
      <c r="G128" s="2" t="b">
        <f t="shared" si="2"/>
        <v>0</v>
      </c>
    </row>
    <row r="129" ht="15.75" customHeight="1">
      <c r="A129" s="2" t="s">
        <v>147</v>
      </c>
      <c r="B129" s="3">
        <v>45974.0</v>
      </c>
      <c r="C129" s="2" t="s">
        <v>6</v>
      </c>
      <c r="D129" s="2" t="s">
        <v>20</v>
      </c>
      <c r="E129" s="2">
        <v>4346.51</v>
      </c>
      <c r="F129" s="2">
        <f t="shared" si="1"/>
        <v>4346.51</v>
      </c>
      <c r="G129" s="2" t="b">
        <f t="shared" si="2"/>
        <v>0</v>
      </c>
    </row>
    <row r="130" ht="15.75" customHeight="1">
      <c r="A130" s="2" t="s">
        <v>148</v>
      </c>
      <c r="B130" s="3">
        <v>45961.0</v>
      </c>
      <c r="C130" s="2" t="s">
        <v>17</v>
      </c>
      <c r="D130" s="2" t="s">
        <v>7</v>
      </c>
      <c r="E130" s="2">
        <v>401.17</v>
      </c>
      <c r="F130" s="2">
        <f t="shared" si="1"/>
        <v>401.17</v>
      </c>
      <c r="G130" s="2" t="b">
        <f t="shared" si="2"/>
        <v>0</v>
      </c>
    </row>
    <row r="131" ht="15.75" customHeight="1">
      <c r="A131" s="2" t="s">
        <v>149</v>
      </c>
      <c r="B131" s="3">
        <v>45943.0</v>
      </c>
      <c r="C131" s="2" t="s">
        <v>19</v>
      </c>
      <c r="D131" s="2" t="s">
        <v>25</v>
      </c>
      <c r="E131" s="2">
        <v>3027.88</v>
      </c>
      <c r="F131" s="2">
        <f t="shared" si="1"/>
        <v>3027.88</v>
      </c>
      <c r="G131" s="2" t="b">
        <f t="shared" si="2"/>
        <v>0</v>
      </c>
    </row>
    <row r="132" ht="15.75" customHeight="1">
      <c r="A132" s="2" t="s">
        <v>150</v>
      </c>
      <c r="B132" s="3">
        <v>45974.0</v>
      </c>
      <c r="C132" s="2" t="s">
        <v>6</v>
      </c>
      <c r="D132" s="2" t="s">
        <v>13</v>
      </c>
      <c r="E132" s="2">
        <v>2806.72</v>
      </c>
      <c r="F132" s="2">
        <f t="shared" si="1"/>
        <v>2806.72</v>
      </c>
      <c r="G132" s="2" t="b">
        <f t="shared" si="2"/>
        <v>0</v>
      </c>
    </row>
    <row r="133" ht="15.75" customHeight="1">
      <c r="A133" s="2" t="s">
        <v>151</v>
      </c>
      <c r="B133" s="3">
        <v>45967.0</v>
      </c>
      <c r="C133" s="2" t="s">
        <v>12</v>
      </c>
      <c r="D133" s="2" t="s">
        <v>28</v>
      </c>
      <c r="E133" s="2">
        <v>4059.99</v>
      </c>
      <c r="F133" s="2">
        <f t="shared" si="1"/>
        <v>4059.99</v>
      </c>
      <c r="G133" s="2" t="b">
        <f t="shared" si="2"/>
        <v>0</v>
      </c>
    </row>
    <row r="134" ht="15.75" customHeight="1">
      <c r="A134" s="2" t="s">
        <v>152</v>
      </c>
      <c r="B134" s="3">
        <v>45698.0</v>
      </c>
      <c r="C134" s="2" t="s">
        <v>12</v>
      </c>
      <c r="D134" s="2" t="s">
        <v>15</v>
      </c>
      <c r="E134" s="2">
        <v>3812.44</v>
      </c>
      <c r="F134" s="2">
        <f t="shared" si="1"/>
        <v>3812.44</v>
      </c>
      <c r="G134" s="2" t="b">
        <f t="shared" si="2"/>
        <v>0</v>
      </c>
    </row>
    <row r="135" ht="15.75" customHeight="1">
      <c r="A135" s="2" t="s">
        <v>153</v>
      </c>
      <c r="B135" s="3">
        <v>45877.0</v>
      </c>
      <c r="C135" s="2" t="s">
        <v>19</v>
      </c>
      <c r="D135" s="2" t="s">
        <v>25</v>
      </c>
      <c r="E135" s="2">
        <v>2042.95</v>
      </c>
      <c r="F135" s="2">
        <f t="shared" si="1"/>
        <v>2042.95</v>
      </c>
      <c r="G135" s="2" t="b">
        <f t="shared" si="2"/>
        <v>0</v>
      </c>
    </row>
    <row r="136" ht="15.75" customHeight="1">
      <c r="A136" s="2" t="s">
        <v>154</v>
      </c>
      <c r="B136" s="3">
        <v>45959.0</v>
      </c>
      <c r="C136" s="2" t="s">
        <v>17</v>
      </c>
      <c r="D136" s="2" t="s">
        <v>28</v>
      </c>
      <c r="E136" s="2">
        <v>2465.71</v>
      </c>
      <c r="F136" s="2">
        <f t="shared" si="1"/>
        <v>2465.71</v>
      </c>
      <c r="G136" s="2" t="b">
        <f t="shared" si="2"/>
        <v>0</v>
      </c>
    </row>
    <row r="137" ht="15.75" customHeight="1">
      <c r="A137" s="2" t="s">
        <v>155</v>
      </c>
      <c r="B137" s="3">
        <v>45755.0</v>
      </c>
      <c r="C137" s="2" t="s">
        <v>17</v>
      </c>
      <c r="D137" s="2" t="s">
        <v>15</v>
      </c>
      <c r="E137" s="2">
        <v>1421.46</v>
      </c>
      <c r="F137" s="2">
        <f t="shared" si="1"/>
        <v>1421.46</v>
      </c>
      <c r="G137" s="2" t="b">
        <f t="shared" si="2"/>
        <v>0</v>
      </c>
    </row>
    <row r="138" ht="15.75" customHeight="1">
      <c r="A138" s="2" t="s">
        <v>156</v>
      </c>
      <c r="B138" s="3">
        <v>45950.0</v>
      </c>
      <c r="C138" s="2" t="s">
        <v>6</v>
      </c>
      <c r="D138" s="2" t="s">
        <v>22</v>
      </c>
      <c r="E138" s="2">
        <v>3120.59</v>
      </c>
      <c r="F138" s="2">
        <f t="shared" si="1"/>
        <v>3120.59</v>
      </c>
      <c r="G138" s="2" t="b">
        <f t="shared" si="2"/>
        <v>0</v>
      </c>
    </row>
    <row r="139" ht="15.75" customHeight="1">
      <c r="A139" s="2" t="s">
        <v>157</v>
      </c>
      <c r="B139" s="3">
        <v>45824.0</v>
      </c>
      <c r="C139" s="2" t="s">
        <v>19</v>
      </c>
      <c r="D139" s="2" t="s">
        <v>13</v>
      </c>
      <c r="E139" s="2">
        <v>3262.23</v>
      </c>
      <c r="F139" s="2">
        <f t="shared" si="1"/>
        <v>3262.23</v>
      </c>
      <c r="G139" s="2" t="b">
        <f t="shared" si="2"/>
        <v>0</v>
      </c>
    </row>
    <row r="140" ht="15.75" customHeight="1">
      <c r="A140" s="2" t="s">
        <v>158</v>
      </c>
      <c r="B140" s="3">
        <v>45795.0</v>
      </c>
      <c r="C140" s="2" t="s">
        <v>23</v>
      </c>
      <c r="D140" s="2" t="s">
        <v>25</v>
      </c>
      <c r="E140" s="2">
        <v>2455.24</v>
      </c>
      <c r="F140" s="2">
        <f t="shared" si="1"/>
        <v>2455.24</v>
      </c>
      <c r="G140" s="2" t="b">
        <f t="shared" si="2"/>
        <v>0</v>
      </c>
    </row>
    <row r="141" ht="15.75" customHeight="1">
      <c r="A141" s="2" t="s">
        <v>159</v>
      </c>
      <c r="B141" s="3">
        <v>45783.0</v>
      </c>
      <c r="C141" s="2" t="s">
        <v>23</v>
      </c>
      <c r="D141" s="2" t="s">
        <v>15</v>
      </c>
      <c r="E141" s="2">
        <v>4630.01</v>
      </c>
      <c r="F141" s="2">
        <f t="shared" si="1"/>
        <v>4630.01</v>
      </c>
      <c r="G141" s="2" t="b">
        <f t="shared" si="2"/>
        <v>0</v>
      </c>
    </row>
    <row r="142" ht="15.75" customHeight="1">
      <c r="A142" s="2" t="s">
        <v>160</v>
      </c>
      <c r="B142" s="3">
        <v>45710.0</v>
      </c>
      <c r="C142" s="2" t="s">
        <v>12</v>
      </c>
      <c r="D142" s="2" t="s">
        <v>7</v>
      </c>
      <c r="E142" s="2">
        <v>3499.23</v>
      </c>
      <c r="F142" s="2">
        <f t="shared" si="1"/>
        <v>3499.23</v>
      </c>
      <c r="G142" s="2" t="b">
        <f t="shared" si="2"/>
        <v>0</v>
      </c>
    </row>
    <row r="143" ht="15.75" customHeight="1">
      <c r="A143" s="2" t="s">
        <v>161</v>
      </c>
      <c r="B143" s="3">
        <v>45725.0</v>
      </c>
      <c r="C143" s="2" t="s">
        <v>19</v>
      </c>
      <c r="D143" s="2" t="s">
        <v>20</v>
      </c>
      <c r="E143" s="2">
        <v>3876.94</v>
      </c>
      <c r="F143" s="2">
        <f t="shared" si="1"/>
        <v>3876.94</v>
      </c>
      <c r="G143" s="2" t="b">
        <f t="shared" si="2"/>
        <v>0</v>
      </c>
    </row>
    <row r="144" ht="15.75" customHeight="1">
      <c r="A144" s="2" t="s">
        <v>162</v>
      </c>
      <c r="B144" s="3">
        <v>45957.0</v>
      </c>
      <c r="C144" s="2" t="s">
        <v>12</v>
      </c>
      <c r="D144" s="2" t="s">
        <v>22</v>
      </c>
      <c r="E144" s="2">
        <v>1600.41</v>
      </c>
      <c r="F144" s="2">
        <f t="shared" si="1"/>
        <v>1600.41</v>
      </c>
      <c r="G144" s="2" t="b">
        <f t="shared" si="2"/>
        <v>0</v>
      </c>
    </row>
    <row r="145" ht="15.75" customHeight="1">
      <c r="A145" s="2" t="s">
        <v>163</v>
      </c>
      <c r="B145" s="3">
        <v>45787.0</v>
      </c>
      <c r="C145" s="2" t="s">
        <v>6</v>
      </c>
      <c r="D145" s="2" t="s">
        <v>15</v>
      </c>
      <c r="E145" s="2">
        <v>3568.16</v>
      </c>
      <c r="F145" s="2">
        <f t="shared" si="1"/>
        <v>3568.16</v>
      </c>
      <c r="G145" s="2" t="b">
        <f t="shared" si="2"/>
        <v>0</v>
      </c>
    </row>
    <row r="146" ht="15.75" customHeight="1">
      <c r="A146" s="2" t="s">
        <v>164</v>
      </c>
      <c r="B146" s="3">
        <v>45737.0</v>
      </c>
      <c r="C146" s="2" t="s">
        <v>12</v>
      </c>
      <c r="D146" s="2" t="s">
        <v>22</v>
      </c>
      <c r="E146" s="2">
        <v>1346.44</v>
      </c>
      <c r="F146" s="2">
        <f t="shared" si="1"/>
        <v>1346.44</v>
      </c>
      <c r="G146" s="2" t="b">
        <f t="shared" si="2"/>
        <v>0</v>
      </c>
    </row>
    <row r="147" ht="15.75" customHeight="1">
      <c r="A147" s="2" t="s">
        <v>165</v>
      </c>
      <c r="B147" s="3">
        <v>45726.0</v>
      </c>
      <c r="C147" s="2" t="s">
        <v>23</v>
      </c>
      <c r="D147" s="2" t="s">
        <v>22</v>
      </c>
      <c r="E147" s="2">
        <v>4899.48</v>
      </c>
      <c r="F147" s="2">
        <f t="shared" si="1"/>
        <v>4899.48</v>
      </c>
      <c r="G147" s="2" t="b">
        <f t="shared" si="2"/>
        <v>0</v>
      </c>
    </row>
    <row r="148" ht="15.75" customHeight="1">
      <c r="A148" s="2" t="s">
        <v>166</v>
      </c>
      <c r="B148" s="3">
        <v>45854.0</v>
      </c>
      <c r="C148" s="2" t="s">
        <v>6</v>
      </c>
      <c r="D148" s="2" t="s">
        <v>20</v>
      </c>
      <c r="E148" s="2">
        <v>1642.75</v>
      </c>
      <c r="F148" s="2">
        <f t="shared" si="1"/>
        <v>1642.75</v>
      </c>
      <c r="G148" s="2" t="b">
        <f t="shared" si="2"/>
        <v>0</v>
      </c>
    </row>
    <row r="149" ht="15.75" customHeight="1">
      <c r="A149" s="2" t="s">
        <v>167</v>
      </c>
      <c r="B149" s="3">
        <v>45719.0</v>
      </c>
      <c r="C149" s="2" t="s">
        <v>19</v>
      </c>
      <c r="D149" s="2" t="s">
        <v>20</v>
      </c>
      <c r="E149" s="2">
        <v>3668.64</v>
      </c>
      <c r="F149" s="2">
        <f t="shared" si="1"/>
        <v>3668.64</v>
      </c>
      <c r="G149" s="2" t="b">
        <f t="shared" si="2"/>
        <v>0</v>
      </c>
    </row>
    <row r="150" ht="15.75" customHeight="1">
      <c r="A150" s="2" t="s">
        <v>168</v>
      </c>
      <c r="B150" s="3">
        <v>45804.0</v>
      </c>
      <c r="C150" s="2" t="s">
        <v>19</v>
      </c>
      <c r="D150" s="2" t="s">
        <v>25</v>
      </c>
      <c r="E150" s="2">
        <v>150.86</v>
      </c>
      <c r="F150" s="2">
        <f t="shared" si="1"/>
        <v>150.86</v>
      </c>
      <c r="G150" s="2" t="b">
        <f t="shared" si="2"/>
        <v>0</v>
      </c>
    </row>
    <row r="151" ht="15.75" customHeight="1">
      <c r="A151" s="2" t="s">
        <v>169</v>
      </c>
      <c r="B151" s="3">
        <v>45965.0</v>
      </c>
      <c r="C151" s="2" t="s">
        <v>17</v>
      </c>
      <c r="D151" s="2" t="s">
        <v>28</v>
      </c>
      <c r="E151" s="2">
        <v>1025.76</v>
      </c>
      <c r="F151" s="2">
        <f t="shared" si="1"/>
        <v>1025.76</v>
      </c>
      <c r="G151" s="2" t="b">
        <f t="shared" si="2"/>
        <v>0</v>
      </c>
    </row>
    <row r="152" ht="15.75" customHeight="1">
      <c r="A152" s="2" t="s">
        <v>170</v>
      </c>
      <c r="B152" s="3">
        <v>45928.0</v>
      </c>
      <c r="C152" s="2" t="s">
        <v>6</v>
      </c>
      <c r="D152" s="2" t="s">
        <v>15</v>
      </c>
      <c r="E152" s="2">
        <v>276.02</v>
      </c>
      <c r="F152" s="2">
        <f t="shared" si="1"/>
        <v>276.02</v>
      </c>
      <c r="G152" s="2" t="b">
        <f t="shared" si="2"/>
        <v>0</v>
      </c>
    </row>
    <row r="153" ht="15.75" customHeight="1">
      <c r="A153" s="2" t="s">
        <v>171</v>
      </c>
      <c r="B153" s="3">
        <v>45745.0</v>
      </c>
      <c r="C153" s="2" t="s">
        <v>6</v>
      </c>
      <c r="D153" s="2" t="s">
        <v>22</v>
      </c>
      <c r="E153" s="2">
        <v>1566.24</v>
      </c>
      <c r="F153" s="2">
        <f t="shared" si="1"/>
        <v>1566.24</v>
      </c>
      <c r="G153" s="2" t="b">
        <f t="shared" si="2"/>
        <v>0</v>
      </c>
    </row>
    <row r="154" ht="15.75" customHeight="1">
      <c r="A154" s="2" t="s">
        <v>172</v>
      </c>
      <c r="B154" s="3">
        <v>45704.0</v>
      </c>
      <c r="C154" s="2" t="s">
        <v>23</v>
      </c>
      <c r="D154" s="2" t="s">
        <v>25</v>
      </c>
      <c r="E154" s="2">
        <v>1328.59</v>
      </c>
      <c r="F154" s="2">
        <f t="shared" si="1"/>
        <v>1328.59</v>
      </c>
      <c r="G154" s="2" t="b">
        <f t="shared" si="2"/>
        <v>0</v>
      </c>
    </row>
    <row r="155" ht="15.75" customHeight="1">
      <c r="A155" s="2" t="s">
        <v>173</v>
      </c>
      <c r="B155" s="3">
        <v>45710.0</v>
      </c>
      <c r="C155" s="2" t="s">
        <v>19</v>
      </c>
      <c r="D155" s="2" t="s">
        <v>20</v>
      </c>
      <c r="E155" s="2">
        <v>373.49</v>
      </c>
      <c r="F155" s="2">
        <f t="shared" si="1"/>
        <v>373.49</v>
      </c>
      <c r="G155" s="2" t="b">
        <f t="shared" si="2"/>
        <v>0</v>
      </c>
    </row>
    <row r="156" ht="15.75" customHeight="1">
      <c r="A156" s="2" t="s">
        <v>174</v>
      </c>
      <c r="B156" s="3">
        <v>45802.0</v>
      </c>
      <c r="C156" s="2" t="s">
        <v>6</v>
      </c>
      <c r="D156" s="2" t="s">
        <v>7</v>
      </c>
      <c r="E156" s="2">
        <v>2538.9</v>
      </c>
      <c r="F156" s="2">
        <f t="shared" si="1"/>
        <v>2538.9</v>
      </c>
      <c r="G156" s="2" t="b">
        <f t="shared" si="2"/>
        <v>0</v>
      </c>
    </row>
    <row r="157" ht="15.75" customHeight="1">
      <c r="A157" s="2" t="s">
        <v>175</v>
      </c>
      <c r="B157" s="3">
        <v>45742.0</v>
      </c>
      <c r="C157" s="2" t="s">
        <v>19</v>
      </c>
      <c r="D157" s="2" t="s">
        <v>28</v>
      </c>
      <c r="E157" s="2">
        <v>934.93</v>
      </c>
      <c r="F157" s="2">
        <f t="shared" si="1"/>
        <v>934.93</v>
      </c>
      <c r="G157" s="2" t="b">
        <f t="shared" si="2"/>
        <v>0</v>
      </c>
    </row>
    <row r="158" ht="15.75" customHeight="1">
      <c r="A158" s="2" t="s">
        <v>176</v>
      </c>
      <c r="B158" s="3">
        <v>45668.0</v>
      </c>
      <c r="C158" s="2" t="s">
        <v>6</v>
      </c>
      <c r="D158" s="2" t="s">
        <v>25</v>
      </c>
      <c r="E158" s="2">
        <v>4503.93</v>
      </c>
      <c r="F158" s="2">
        <f t="shared" si="1"/>
        <v>4503.93</v>
      </c>
      <c r="G158" s="2" t="b">
        <f t="shared" si="2"/>
        <v>0</v>
      </c>
    </row>
    <row r="159" ht="15.75" customHeight="1">
      <c r="A159" s="2" t="s">
        <v>177</v>
      </c>
      <c r="B159" s="3">
        <v>45848.0</v>
      </c>
      <c r="C159" s="2" t="s">
        <v>12</v>
      </c>
      <c r="D159" s="2" t="s">
        <v>22</v>
      </c>
      <c r="E159" s="2">
        <v>4217.11</v>
      </c>
      <c r="F159" s="2">
        <f t="shared" si="1"/>
        <v>4217.11</v>
      </c>
      <c r="G159" s="2" t="b">
        <f t="shared" si="2"/>
        <v>0</v>
      </c>
    </row>
    <row r="160" ht="15.75" customHeight="1">
      <c r="A160" s="2" t="s">
        <v>178</v>
      </c>
      <c r="B160" s="3">
        <v>46020.0</v>
      </c>
      <c r="C160" s="2" t="s">
        <v>12</v>
      </c>
      <c r="D160" s="2" t="s">
        <v>28</v>
      </c>
      <c r="E160" s="2">
        <v>4158.92</v>
      </c>
      <c r="F160" s="2">
        <f t="shared" si="1"/>
        <v>4158.92</v>
      </c>
      <c r="G160" s="2" t="b">
        <f t="shared" si="2"/>
        <v>0</v>
      </c>
    </row>
    <row r="161" ht="15.75" customHeight="1">
      <c r="A161" s="2" t="s">
        <v>179</v>
      </c>
      <c r="B161" s="3">
        <v>45754.0</v>
      </c>
      <c r="C161" s="2" t="s">
        <v>6</v>
      </c>
      <c r="D161" s="2" t="s">
        <v>22</v>
      </c>
      <c r="E161" s="2">
        <v>2460.24</v>
      </c>
      <c r="F161" s="2">
        <f t="shared" si="1"/>
        <v>2460.24</v>
      </c>
      <c r="G161" s="2" t="b">
        <f t="shared" si="2"/>
        <v>0</v>
      </c>
    </row>
    <row r="162" ht="15.75" customHeight="1">
      <c r="A162" s="2" t="s">
        <v>180</v>
      </c>
      <c r="B162" s="3">
        <v>45780.0</v>
      </c>
      <c r="C162" s="2" t="s">
        <v>6</v>
      </c>
      <c r="D162" s="2" t="s">
        <v>25</v>
      </c>
      <c r="E162" s="2">
        <v>4519.45</v>
      </c>
      <c r="F162" s="2">
        <f t="shared" si="1"/>
        <v>4519.45</v>
      </c>
      <c r="G162" s="2" t="b">
        <f t="shared" si="2"/>
        <v>0</v>
      </c>
    </row>
    <row r="163" ht="15.75" customHeight="1">
      <c r="A163" s="2" t="s">
        <v>181</v>
      </c>
      <c r="B163" s="3">
        <v>45893.0</v>
      </c>
      <c r="C163" s="2" t="s">
        <v>17</v>
      </c>
      <c r="D163" s="2" t="s">
        <v>28</v>
      </c>
      <c r="E163" s="2">
        <v>1251.61</v>
      </c>
      <c r="F163" s="2">
        <f t="shared" si="1"/>
        <v>1251.61</v>
      </c>
      <c r="G163" s="2" t="b">
        <f t="shared" si="2"/>
        <v>0</v>
      </c>
    </row>
    <row r="164" ht="15.75" customHeight="1">
      <c r="A164" s="2" t="s">
        <v>182</v>
      </c>
      <c r="B164" s="3">
        <v>45843.0</v>
      </c>
      <c r="C164" s="2" t="s">
        <v>17</v>
      </c>
      <c r="D164" s="2" t="s">
        <v>15</v>
      </c>
      <c r="E164" s="2">
        <v>1557.21</v>
      </c>
      <c r="F164" s="2">
        <f t="shared" si="1"/>
        <v>1557.21</v>
      </c>
      <c r="G164" s="2" t="b">
        <f t="shared" si="2"/>
        <v>0</v>
      </c>
    </row>
    <row r="165" ht="15.75" customHeight="1">
      <c r="A165" s="2" t="s">
        <v>183</v>
      </c>
      <c r="B165" s="3">
        <v>45809.0</v>
      </c>
      <c r="C165" s="2" t="s">
        <v>17</v>
      </c>
      <c r="D165" s="2" t="s">
        <v>15</v>
      </c>
      <c r="E165" s="2">
        <v>1736.05</v>
      </c>
      <c r="F165" s="2">
        <f t="shared" si="1"/>
        <v>1736.05</v>
      </c>
      <c r="G165" s="2" t="b">
        <f t="shared" si="2"/>
        <v>0</v>
      </c>
    </row>
    <row r="166" ht="15.75" customHeight="1">
      <c r="A166" s="2" t="s">
        <v>184</v>
      </c>
      <c r="B166" s="3">
        <v>45684.0</v>
      </c>
      <c r="C166" s="2" t="s">
        <v>19</v>
      </c>
      <c r="D166" s="2" t="s">
        <v>7</v>
      </c>
      <c r="E166" s="2">
        <v>4394.17</v>
      </c>
      <c r="F166" s="2">
        <f t="shared" si="1"/>
        <v>4394.17</v>
      </c>
      <c r="G166" s="2" t="b">
        <f t="shared" si="2"/>
        <v>0</v>
      </c>
    </row>
    <row r="167" ht="15.75" customHeight="1">
      <c r="A167" s="2" t="s">
        <v>185</v>
      </c>
      <c r="B167" s="3">
        <v>45734.0</v>
      </c>
      <c r="C167" s="2" t="s">
        <v>19</v>
      </c>
      <c r="D167" s="2" t="s">
        <v>13</v>
      </c>
      <c r="E167" s="2">
        <v>1402.57</v>
      </c>
      <c r="F167" s="2">
        <f t="shared" si="1"/>
        <v>1402.57</v>
      </c>
      <c r="G167" s="2" t="b">
        <f t="shared" si="2"/>
        <v>0</v>
      </c>
    </row>
    <row r="168" ht="15.75" customHeight="1">
      <c r="A168" s="2" t="s">
        <v>186</v>
      </c>
      <c r="B168" s="3">
        <v>45724.0</v>
      </c>
      <c r="C168" s="2" t="s">
        <v>19</v>
      </c>
      <c r="D168" s="2" t="s">
        <v>15</v>
      </c>
      <c r="E168" s="2">
        <v>2425.04</v>
      </c>
      <c r="F168" s="2">
        <f t="shared" si="1"/>
        <v>2425.04</v>
      </c>
      <c r="G168" s="2" t="b">
        <f t="shared" si="2"/>
        <v>0</v>
      </c>
    </row>
    <row r="169" ht="15.75" customHeight="1">
      <c r="A169" s="2" t="s">
        <v>187</v>
      </c>
      <c r="B169" s="3">
        <v>45890.0</v>
      </c>
      <c r="C169" s="2" t="s">
        <v>19</v>
      </c>
      <c r="D169" s="2" t="s">
        <v>15</v>
      </c>
      <c r="E169" s="2">
        <v>2857.49</v>
      </c>
      <c r="F169" s="2">
        <f t="shared" si="1"/>
        <v>2857.49</v>
      </c>
      <c r="G169" s="2" t="b">
        <f t="shared" si="2"/>
        <v>0</v>
      </c>
    </row>
    <row r="170" ht="15.75" customHeight="1">
      <c r="A170" s="2" t="s">
        <v>188</v>
      </c>
      <c r="B170" s="3">
        <v>45712.0</v>
      </c>
      <c r="C170" s="2" t="s">
        <v>6</v>
      </c>
      <c r="D170" s="2" t="s">
        <v>25</v>
      </c>
      <c r="E170" s="2">
        <v>2387.98</v>
      </c>
      <c r="F170" s="2">
        <f t="shared" si="1"/>
        <v>2387.98</v>
      </c>
      <c r="G170" s="2" t="b">
        <f t="shared" si="2"/>
        <v>0</v>
      </c>
    </row>
    <row r="171" ht="15.75" customHeight="1">
      <c r="A171" s="2" t="s">
        <v>189</v>
      </c>
      <c r="B171" s="3">
        <v>45803.0</v>
      </c>
      <c r="C171" s="2" t="s">
        <v>6</v>
      </c>
      <c r="D171" s="2" t="s">
        <v>20</v>
      </c>
      <c r="E171" s="2">
        <v>3579.65</v>
      </c>
      <c r="F171" s="2">
        <f t="shared" si="1"/>
        <v>3579.65</v>
      </c>
      <c r="G171" s="2" t="b">
        <f t="shared" si="2"/>
        <v>0</v>
      </c>
    </row>
    <row r="172" ht="15.75" customHeight="1">
      <c r="A172" s="2" t="s">
        <v>190</v>
      </c>
      <c r="B172" s="3">
        <v>45851.0</v>
      </c>
      <c r="C172" s="2" t="s">
        <v>23</v>
      </c>
      <c r="D172" s="2" t="s">
        <v>7</v>
      </c>
      <c r="E172" s="2">
        <v>1941.43</v>
      </c>
      <c r="F172" s="2">
        <f t="shared" si="1"/>
        <v>1941.43</v>
      </c>
      <c r="G172" s="2" t="b">
        <f t="shared" si="2"/>
        <v>0</v>
      </c>
    </row>
    <row r="173" ht="15.75" customHeight="1">
      <c r="A173" s="2" t="s">
        <v>191</v>
      </c>
      <c r="B173" s="3">
        <v>45843.0</v>
      </c>
      <c r="C173" s="2" t="s">
        <v>17</v>
      </c>
      <c r="D173" s="2" t="s">
        <v>20</v>
      </c>
      <c r="E173" s="2">
        <v>3135.81</v>
      </c>
      <c r="F173" s="2">
        <f t="shared" si="1"/>
        <v>3135.81</v>
      </c>
      <c r="G173" s="2" t="b">
        <f t="shared" si="2"/>
        <v>0</v>
      </c>
    </row>
    <row r="174" ht="15.75" customHeight="1">
      <c r="A174" s="2" t="s">
        <v>192</v>
      </c>
      <c r="B174" s="3">
        <v>45916.0</v>
      </c>
      <c r="C174" s="2" t="s">
        <v>12</v>
      </c>
      <c r="D174" s="2" t="s">
        <v>22</v>
      </c>
      <c r="E174" s="2">
        <v>3791.48</v>
      </c>
      <c r="F174" s="2">
        <f t="shared" si="1"/>
        <v>3791.48</v>
      </c>
      <c r="G174" s="2" t="b">
        <f t="shared" si="2"/>
        <v>0</v>
      </c>
    </row>
    <row r="175" ht="15.75" customHeight="1">
      <c r="A175" s="2" t="s">
        <v>193</v>
      </c>
      <c r="B175" s="3">
        <v>45738.0</v>
      </c>
      <c r="C175" s="2" t="s">
        <v>6</v>
      </c>
      <c r="D175" s="2" t="s">
        <v>20</v>
      </c>
      <c r="E175" s="2">
        <v>4594.59</v>
      </c>
      <c r="F175" s="2">
        <f t="shared" si="1"/>
        <v>4594.59</v>
      </c>
      <c r="G175" s="2" t="b">
        <f t="shared" si="2"/>
        <v>0</v>
      </c>
    </row>
    <row r="176" ht="15.75" customHeight="1">
      <c r="A176" s="2" t="s">
        <v>194</v>
      </c>
      <c r="B176" s="3">
        <v>45708.0</v>
      </c>
      <c r="C176" s="2" t="s">
        <v>12</v>
      </c>
      <c r="D176" s="2" t="s">
        <v>22</v>
      </c>
      <c r="E176" s="2">
        <v>1360.35</v>
      </c>
      <c r="F176" s="2">
        <f t="shared" si="1"/>
        <v>1360.35</v>
      </c>
      <c r="G176" s="2" t="b">
        <f t="shared" si="2"/>
        <v>0</v>
      </c>
    </row>
    <row r="177" ht="15.75" customHeight="1">
      <c r="A177" s="2" t="s">
        <v>195</v>
      </c>
      <c r="B177" s="3">
        <v>45980.0</v>
      </c>
      <c r="C177" s="2" t="s">
        <v>12</v>
      </c>
      <c r="D177" s="2" t="s">
        <v>25</v>
      </c>
      <c r="E177" s="2">
        <v>600.53</v>
      </c>
      <c r="F177" s="2">
        <f t="shared" si="1"/>
        <v>600.53</v>
      </c>
      <c r="G177" s="2" t="b">
        <f t="shared" si="2"/>
        <v>0</v>
      </c>
    </row>
    <row r="178" ht="15.75" customHeight="1">
      <c r="A178" s="2" t="s">
        <v>196</v>
      </c>
      <c r="B178" s="3">
        <v>45746.0</v>
      </c>
      <c r="C178" s="2" t="s">
        <v>19</v>
      </c>
      <c r="D178" s="2" t="s">
        <v>13</v>
      </c>
      <c r="E178" s="2">
        <v>4989.55</v>
      </c>
      <c r="F178" s="2">
        <f t="shared" si="1"/>
        <v>4989.55</v>
      </c>
      <c r="G178" s="2" t="b">
        <f t="shared" si="2"/>
        <v>0</v>
      </c>
    </row>
    <row r="179" ht="15.75" customHeight="1">
      <c r="A179" s="2" t="s">
        <v>197</v>
      </c>
      <c r="B179" s="3">
        <v>45737.0</v>
      </c>
      <c r="C179" s="2" t="s">
        <v>12</v>
      </c>
      <c r="D179" s="2" t="s">
        <v>20</v>
      </c>
      <c r="E179" s="2">
        <v>2531.96</v>
      </c>
      <c r="F179" s="2">
        <f t="shared" si="1"/>
        <v>2531.96</v>
      </c>
      <c r="G179" s="2" t="b">
        <f t="shared" si="2"/>
        <v>0</v>
      </c>
    </row>
    <row r="180" ht="15.75" customHeight="1">
      <c r="A180" s="2" t="s">
        <v>198</v>
      </c>
      <c r="B180" s="3">
        <v>46007.0</v>
      </c>
      <c r="C180" s="2" t="s">
        <v>19</v>
      </c>
      <c r="D180" s="2" t="s">
        <v>20</v>
      </c>
      <c r="E180" s="2">
        <v>4886.45</v>
      </c>
      <c r="F180" s="2">
        <f t="shared" si="1"/>
        <v>4886.45</v>
      </c>
      <c r="G180" s="2" t="b">
        <f t="shared" si="2"/>
        <v>0</v>
      </c>
    </row>
    <row r="181" ht="15.75" customHeight="1">
      <c r="A181" s="2" t="s">
        <v>199</v>
      </c>
      <c r="B181" s="3">
        <v>45664.0</v>
      </c>
      <c r="C181" s="2" t="s">
        <v>6</v>
      </c>
      <c r="D181" s="2" t="s">
        <v>20</v>
      </c>
      <c r="E181" s="2">
        <v>4709.03</v>
      </c>
      <c r="F181" s="2">
        <f t="shared" si="1"/>
        <v>4709.03</v>
      </c>
      <c r="G181" s="2" t="b">
        <f t="shared" si="2"/>
        <v>0</v>
      </c>
    </row>
    <row r="182" ht="15.75" customHeight="1">
      <c r="A182" s="2" t="s">
        <v>200</v>
      </c>
      <c r="B182" s="3">
        <v>46006.0</v>
      </c>
      <c r="C182" s="2" t="s">
        <v>17</v>
      </c>
      <c r="D182" s="2" t="s">
        <v>15</v>
      </c>
      <c r="E182" s="2">
        <v>2185.18</v>
      </c>
      <c r="F182" s="2">
        <f t="shared" si="1"/>
        <v>2185.18</v>
      </c>
      <c r="G182" s="2" t="b">
        <f t="shared" si="2"/>
        <v>0</v>
      </c>
    </row>
    <row r="183" ht="15.75" customHeight="1">
      <c r="A183" s="2" t="s">
        <v>201</v>
      </c>
      <c r="B183" s="3">
        <v>45700.0</v>
      </c>
      <c r="C183" s="2" t="s">
        <v>6</v>
      </c>
      <c r="D183" s="2" t="s">
        <v>7</v>
      </c>
      <c r="E183" s="2">
        <v>2000.25</v>
      </c>
      <c r="F183" s="2">
        <f t="shared" si="1"/>
        <v>2000.25</v>
      </c>
      <c r="G183" s="2" t="b">
        <f t="shared" si="2"/>
        <v>0</v>
      </c>
    </row>
    <row r="184" ht="15.75" customHeight="1">
      <c r="A184" s="2" t="s">
        <v>202</v>
      </c>
      <c r="B184" s="3">
        <v>45680.0</v>
      </c>
      <c r="C184" s="2" t="s">
        <v>12</v>
      </c>
      <c r="D184" s="2" t="s">
        <v>22</v>
      </c>
      <c r="E184" s="2">
        <v>2274.34</v>
      </c>
      <c r="F184" s="2">
        <f t="shared" si="1"/>
        <v>2274.34</v>
      </c>
      <c r="G184" s="2" t="b">
        <f t="shared" si="2"/>
        <v>0</v>
      </c>
    </row>
    <row r="185" ht="15.75" customHeight="1">
      <c r="A185" s="2" t="s">
        <v>203</v>
      </c>
      <c r="B185" s="3">
        <v>45902.0</v>
      </c>
      <c r="C185" s="2" t="s">
        <v>23</v>
      </c>
      <c r="D185" s="2" t="s">
        <v>25</v>
      </c>
      <c r="E185" s="2">
        <v>2461.81</v>
      </c>
      <c r="F185" s="2">
        <f t="shared" si="1"/>
        <v>2461.81</v>
      </c>
      <c r="G185" s="2" t="b">
        <f t="shared" si="2"/>
        <v>0</v>
      </c>
    </row>
    <row r="186" ht="15.75" customHeight="1">
      <c r="A186" s="2" t="s">
        <v>204</v>
      </c>
      <c r="B186" s="3">
        <v>45755.0</v>
      </c>
      <c r="C186" s="2" t="s">
        <v>23</v>
      </c>
      <c r="D186" s="2" t="s">
        <v>15</v>
      </c>
      <c r="E186" s="2">
        <v>3174.99</v>
      </c>
      <c r="F186" s="2">
        <f t="shared" si="1"/>
        <v>3174.99</v>
      </c>
      <c r="G186" s="2" t="b">
        <f t="shared" si="2"/>
        <v>0</v>
      </c>
    </row>
    <row r="187" ht="15.75" customHeight="1">
      <c r="A187" s="2" t="s">
        <v>205</v>
      </c>
      <c r="B187" s="3">
        <v>45768.0</v>
      </c>
      <c r="C187" s="2" t="s">
        <v>23</v>
      </c>
      <c r="D187" s="2" t="s">
        <v>15</v>
      </c>
      <c r="E187" s="2">
        <v>1388.6</v>
      </c>
      <c r="F187" s="2">
        <f t="shared" si="1"/>
        <v>1388.6</v>
      </c>
      <c r="G187" s="2" t="b">
        <f t="shared" si="2"/>
        <v>0</v>
      </c>
    </row>
    <row r="188" ht="15.75" customHeight="1">
      <c r="A188" s="2" t="s">
        <v>206</v>
      </c>
      <c r="B188" s="3">
        <v>45729.0</v>
      </c>
      <c r="C188" s="2" t="s">
        <v>23</v>
      </c>
      <c r="D188" s="2" t="s">
        <v>22</v>
      </c>
      <c r="E188" s="2">
        <v>4931.85</v>
      </c>
      <c r="F188" s="2">
        <f t="shared" si="1"/>
        <v>4931.85</v>
      </c>
      <c r="G188" s="2" t="b">
        <f t="shared" si="2"/>
        <v>0</v>
      </c>
    </row>
    <row r="189" ht="15.75" customHeight="1">
      <c r="A189" s="2" t="s">
        <v>207</v>
      </c>
      <c r="B189" s="3">
        <v>45866.0</v>
      </c>
      <c r="C189" s="2" t="s">
        <v>12</v>
      </c>
      <c r="D189" s="2" t="s">
        <v>20</v>
      </c>
      <c r="E189" s="2">
        <v>303.22</v>
      </c>
      <c r="F189" s="2">
        <f t="shared" si="1"/>
        <v>303.22</v>
      </c>
      <c r="G189" s="2" t="b">
        <f t="shared" si="2"/>
        <v>0</v>
      </c>
    </row>
    <row r="190" ht="15.75" customHeight="1">
      <c r="A190" s="2" t="s">
        <v>208</v>
      </c>
      <c r="B190" s="3">
        <v>45879.0</v>
      </c>
      <c r="C190" s="2" t="s">
        <v>6</v>
      </c>
      <c r="D190" s="2" t="s">
        <v>28</v>
      </c>
      <c r="E190" s="2">
        <v>724.69</v>
      </c>
      <c r="F190" s="2">
        <f t="shared" si="1"/>
        <v>724.69</v>
      </c>
      <c r="G190" s="2" t="b">
        <f t="shared" si="2"/>
        <v>0</v>
      </c>
    </row>
    <row r="191" ht="15.75" customHeight="1">
      <c r="A191" s="2" t="s">
        <v>209</v>
      </c>
      <c r="B191" s="3">
        <v>45850.0</v>
      </c>
      <c r="C191" s="2" t="s">
        <v>17</v>
      </c>
      <c r="D191" s="2" t="s">
        <v>13</v>
      </c>
      <c r="E191" s="2">
        <v>3152.13</v>
      </c>
      <c r="F191" s="2">
        <f t="shared" si="1"/>
        <v>3152.13</v>
      </c>
      <c r="G191" s="2" t="b">
        <f t="shared" si="2"/>
        <v>0</v>
      </c>
    </row>
    <row r="192" ht="15.75" customHeight="1">
      <c r="A192" s="2" t="s">
        <v>210</v>
      </c>
      <c r="B192" s="3">
        <v>46022.0</v>
      </c>
      <c r="C192" s="2" t="s">
        <v>23</v>
      </c>
      <c r="D192" s="2" t="s">
        <v>15</v>
      </c>
      <c r="E192" s="2">
        <v>4376.99</v>
      </c>
      <c r="F192" s="2">
        <f t="shared" si="1"/>
        <v>4376.99</v>
      </c>
      <c r="G192" s="2" t="b">
        <f t="shared" si="2"/>
        <v>0</v>
      </c>
    </row>
    <row r="193" ht="15.75" customHeight="1">
      <c r="A193" s="2" t="s">
        <v>211</v>
      </c>
      <c r="B193" s="3">
        <v>45721.0</v>
      </c>
      <c r="C193" s="2" t="s">
        <v>17</v>
      </c>
      <c r="D193" s="2" t="s">
        <v>25</v>
      </c>
      <c r="E193" s="2">
        <v>4963.8</v>
      </c>
      <c r="F193" s="2">
        <f t="shared" si="1"/>
        <v>4963.8</v>
      </c>
      <c r="G193" s="2" t="b">
        <f t="shared" si="2"/>
        <v>0</v>
      </c>
    </row>
    <row r="194" ht="15.75" customHeight="1">
      <c r="A194" s="2" t="s">
        <v>212</v>
      </c>
      <c r="B194" s="3">
        <v>46017.0</v>
      </c>
      <c r="C194" s="2" t="s">
        <v>12</v>
      </c>
      <c r="D194" s="2" t="s">
        <v>22</v>
      </c>
      <c r="E194" s="2">
        <v>2532.66</v>
      </c>
      <c r="F194" s="2">
        <f t="shared" si="1"/>
        <v>2532.66</v>
      </c>
      <c r="G194" s="2" t="b">
        <f t="shared" si="2"/>
        <v>0</v>
      </c>
    </row>
    <row r="195" ht="15.75" customHeight="1">
      <c r="A195" s="2" t="s">
        <v>213</v>
      </c>
      <c r="B195" s="3">
        <v>45866.0</v>
      </c>
      <c r="C195" s="2" t="s">
        <v>12</v>
      </c>
      <c r="D195" s="2" t="s">
        <v>20</v>
      </c>
      <c r="E195" s="2">
        <v>4513.14</v>
      </c>
      <c r="F195" s="2">
        <f t="shared" si="1"/>
        <v>4513.14</v>
      </c>
      <c r="G195" s="2" t="b">
        <f t="shared" si="2"/>
        <v>0</v>
      </c>
    </row>
    <row r="196" ht="15.75" customHeight="1">
      <c r="A196" s="2" t="s">
        <v>214</v>
      </c>
      <c r="B196" s="3">
        <v>45959.0</v>
      </c>
      <c r="C196" s="2" t="s">
        <v>19</v>
      </c>
      <c r="D196" s="2" t="s">
        <v>25</v>
      </c>
      <c r="E196" s="2">
        <v>3531.24</v>
      </c>
      <c r="F196" s="2">
        <f t="shared" si="1"/>
        <v>3531.24</v>
      </c>
      <c r="G196" s="2" t="b">
        <f t="shared" si="2"/>
        <v>0</v>
      </c>
    </row>
    <row r="197" ht="15.75" customHeight="1">
      <c r="A197" s="2" t="s">
        <v>215</v>
      </c>
      <c r="B197" s="3">
        <v>46017.0</v>
      </c>
      <c r="C197" s="2" t="s">
        <v>23</v>
      </c>
      <c r="D197" s="2" t="s">
        <v>25</v>
      </c>
      <c r="E197" s="2">
        <v>1069.03</v>
      </c>
      <c r="F197" s="2">
        <f t="shared" si="1"/>
        <v>1069.03</v>
      </c>
      <c r="G197" s="2" t="b">
        <f t="shared" si="2"/>
        <v>0</v>
      </c>
    </row>
    <row r="198" ht="15.75" customHeight="1">
      <c r="A198" s="2" t="s">
        <v>216</v>
      </c>
      <c r="B198" s="3">
        <v>45761.0</v>
      </c>
      <c r="C198" s="2" t="s">
        <v>12</v>
      </c>
      <c r="D198" s="2" t="s">
        <v>25</v>
      </c>
      <c r="E198" s="2">
        <v>4631.91</v>
      </c>
      <c r="F198" s="2">
        <f t="shared" si="1"/>
        <v>4631.91</v>
      </c>
      <c r="G198" s="2" t="b">
        <f t="shared" si="2"/>
        <v>0</v>
      </c>
    </row>
    <row r="199" ht="15.75" customHeight="1">
      <c r="A199" s="2" t="s">
        <v>217</v>
      </c>
      <c r="B199" s="3">
        <v>45821.0</v>
      </c>
      <c r="C199" s="2" t="s">
        <v>17</v>
      </c>
      <c r="D199" s="2" t="s">
        <v>15</v>
      </c>
      <c r="E199" s="2">
        <v>544.35</v>
      </c>
      <c r="F199" s="2">
        <f t="shared" si="1"/>
        <v>544.35</v>
      </c>
      <c r="G199" s="2" t="b">
        <f t="shared" si="2"/>
        <v>0</v>
      </c>
    </row>
    <row r="200" ht="15.75" customHeight="1">
      <c r="A200" s="2" t="s">
        <v>218</v>
      </c>
      <c r="B200" s="3">
        <v>45683.0</v>
      </c>
      <c r="C200" s="2" t="s">
        <v>19</v>
      </c>
      <c r="D200" s="2" t="s">
        <v>15</v>
      </c>
      <c r="E200" s="2">
        <v>2159.93</v>
      </c>
      <c r="F200" s="2">
        <f t="shared" si="1"/>
        <v>2159.93</v>
      </c>
      <c r="G200" s="2" t="b">
        <f t="shared" si="2"/>
        <v>0</v>
      </c>
    </row>
    <row r="201" ht="15.75" customHeight="1">
      <c r="A201" s="2" t="s">
        <v>219</v>
      </c>
      <c r="B201" s="3">
        <v>45881.0</v>
      </c>
      <c r="C201" s="2" t="s">
        <v>19</v>
      </c>
      <c r="D201" s="2" t="s">
        <v>20</v>
      </c>
      <c r="E201" s="2">
        <v>4014.48</v>
      </c>
      <c r="F201" s="2">
        <f t="shared" si="1"/>
        <v>4014.48</v>
      </c>
      <c r="G201" s="2" t="b">
        <f t="shared" si="2"/>
        <v>0</v>
      </c>
    </row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1" t="s">
        <v>3</v>
      </c>
      <c r="B1" s="1" t="s">
        <v>220</v>
      </c>
      <c r="C1" s="1" t="s">
        <v>221</v>
      </c>
      <c r="D1" s="1" t="s">
        <v>222</v>
      </c>
    </row>
    <row r="2">
      <c r="A2" s="2" t="s">
        <v>20</v>
      </c>
      <c r="B2" s="2" t="s">
        <v>223</v>
      </c>
      <c r="C2" s="2" t="s">
        <v>224</v>
      </c>
      <c r="D2" s="2">
        <v>1200.0</v>
      </c>
      <c r="E2" s="6">
        <f>AVERAGEIF(C2:C7,C2,D2:D7)</f>
        <v>750</v>
      </c>
      <c r="F2" s="6">
        <f>MATCH(B2,B2:B7)</f>
        <v>4</v>
      </c>
    </row>
    <row r="3">
      <c r="A3" s="2" t="s">
        <v>13</v>
      </c>
      <c r="B3" s="2" t="s">
        <v>225</v>
      </c>
      <c r="C3" s="2" t="s">
        <v>224</v>
      </c>
      <c r="D3" s="2">
        <v>800.0</v>
      </c>
      <c r="E3" s="6"/>
      <c r="F3" s="6">
        <f t="array" ref="F3">Index(A2:D7,2,4)</f>
        <v>800</v>
      </c>
    </row>
    <row r="4">
      <c r="A4" s="2" t="s">
        <v>25</v>
      </c>
      <c r="B4" s="2" t="s">
        <v>226</v>
      </c>
      <c r="C4" s="2" t="s">
        <v>227</v>
      </c>
      <c r="D4" s="2">
        <v>350.0</v>
      </c>
      <c r="E4" s="6">
        <f>AVERAGEIF(C2:C7,C4,D2:D7)</f>
        <v>200</v>
      </c>
      <c r="F4" s="6">
        <f t="shared" ref="F4:F7" si="1">XLOOKUP(A2,A2:A7,D2:D7)</f>
        <v>1200</v>
      </c>
    </row>
    <row r="5">
      <c r="A5" s="2" t="s">
        <v>7</v>
      </c>
      <c r="B5" s="2" t="s">
        <v>228</v>
      </c>
      <c r="C5" s="2" t="s">
        <v>227</v>
      </c>
      <c r="D5" s="2">
        <v>50.0</v>
      </c>
      <c r="E5" s="6"/>
      <c r="F5" s="6">
        <f t="shared" si="1"/>
        <v>800</v>
      </c>
    </row>
    <row r="6">
      <c r="A6" s="2" t="s">
        <v>28</v>
      </c>
      <c r="B6" s="2" t="s">
        <v>229</v>
      </c>
      <c r="C6" s="2" t="s">
        <v>224</v>
      </c>
      <c r="D6" s="2">
        <v>250.0</v>
      </c>
      <c r="E6" s="6"/>
      <c r="F6" s="6">
        <f t="shared" si="1"/>
        <v>350</v>
      </c>
    </row>
    <row r="7">
      <c r="A7" s="2" t="s">
        <v>22</v>
      </c>
      <c r="B7" s="2" t="s">
        <v>230</v>
      </c>
      <c r="C7" s="2" t="s">
        <v>231</v>
      </c>
      <c r="D7" s="2">
        <v>45.0</v>
      </c>
      <c r="E7" s="6">
        <f>AVERAGEIF(C2:C7,C7,D2:D7)</f>
        <v>45</v>
      </c>
      <c r="F7" s="6">
        <f t="shared" si="1"/>
        <v>50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