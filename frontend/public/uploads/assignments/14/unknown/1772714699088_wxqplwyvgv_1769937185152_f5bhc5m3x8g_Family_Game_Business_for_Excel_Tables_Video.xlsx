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 Bentley\Dropbox (Bentley Family)\Dropbox (Bentley Family)\1 YouTubeing\2 Patreon\Documents to Upload to Patreon\"/>
    </mc:Choice>
  </mc:AlternateContent>
  <xr:revisionPtr revIDLastSave="0" documentId="13_ncr:1_{1EFFA2B2-E788-4B9C-A135-BE69095BDEDB}" xr6:coauthVersionLast="46" xr6:coauthVersionMax="46" xr10:uidLastSave="{00000000-0000-0000-0000-000000000000}"/>
  <bookViews>
    <workbookView xWindow="-96" yWindow="-96" windowWidth="17472" windowHeight="10392" xr2:uid="{00000000-000D-0000-FFFF-FFFF00000000}"/>
  </bookViews>
  <sheets>
    <sheet name="2021 as Table" sheetId="4" r:id="rId1"/>
    <sheet name="202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" i="4" l="1"/>
  <c r="E10" i="4"/>
  <c r="F10" i="4"/>
  <c r="G10" i="4"/>
  <c r="H10" i="4"/>
  <c r="I10" i="4"/>
  <c r="J10" i="4"/>
  <c r="K10" i="4"/>
  <c r="L10" i="4"/>
  <c r="M10" i="4"/>
  <c r="N10" i="4"/>
  <c r="C10" i="4"/>
  <c r="O9" i="4"/>
  <c r="O8" i="4"/>
  <c r="O7" i="4"/>
  <c r="O6" i="4"/>
  <c r="O5" i="4"/>
  <c r="O4" i="4"/>
  <c r="O3" i="4"/>
  <c r="O2" i="4"/>
  <c r="O10" i="4" l="1"/>
  <c r="O2" i="1"/>
  <c r="O3" i="1"/>
  <c r="O4" i="1"/>
  <c r="O5" i="1"/>
  <c r="O6" i="1"/>
  <c r="O7" i="1"/>
  <c r="O8" i="1"/>
  <c r="O9" i="1"/>
</calcChain>
</file>

<file path=xl/sharedStrings.xml><?xml version="1.0" encoding="utf-8"?>
<sst xmlns="http://schemas.openxmlformats.org/spreadsheetml/2006/main" count="47" uniqueCount="24">
  <si>
    <t>January</t>
  </si>
  <si>
    <t>February</t>
  </si>
  <si>
    <t>March</t>
  </si>
  <si>
    <t>April</t>
  </si>
  <si>
    <t>May</t>
  </si>
  <si>
    <t>June</t>
  </si>
  <si>
    <t>Skipbo</t>
  </si>
  <si>
    <t>Wackee Six</t>
  </si>
  <si>
    <t>Codenames</t>
  </si>
  <si>
    <t>Mad Gab</t>
  </si>
  <si>
    <t>Exploding Kittens</t>
  </si>
  <si>
    <t>Boggle</t>
  </si>
  <si>
    <t>Telestrations</t>
  </si>
  <si>
    <t>Ticket to Ride</t>
  </si>
  <si>
    <t>July</t>
  </si>
  <si>
    <t>August</t>
  </si>
  <si>
    <t>September</t>
  </si>
  <si>
    <t>October</t>
  </si>
  <si>
    <t>November</t>
  </si>
  <si>
    <t>December</t>
  </si>
  <si>
    <t>Product Name</t>
  </si>
  <si>
    <t>Price</t>
  </si>
  <si>
    <t>Yearly 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</si>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</sst>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4" fontId="0" fillId="0" borderId="0" xfId="1" applyFont="1"/>
    <xf numFmtId="0" fontId="0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44" fontId="2" fillId="0" borderId="0" xfId="0" applyNumberFormat="1" applyFont="1"/>
    <xf numFmtId="0" fontId="0" fillId="0" borderId="0" xfId="0" applyNumberFormat="1" applyFont="1"/>
    <xf numFmtId="44" fontId="0" fillId="0" borderId="0" xfId="0" applyNumberFormat="1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4AB5F5-0F65-A747-88A4-99B2598A184E}" name="Table4" displayName="Table4" ref="A1:O10" totalsRowCount="1" headerRowDxfId="4">
  <autoFilter ref="A1:O9" xr:uid="{999E8D6C-76B9-9048-9B0A-85A2BAF03C0A}"/>
  <tableColumns count="15">
    <tableColumn id="1" xr3:uid="{D9262A87-C5CB-1142-A061-08E6DAEE7D2D}" name="Product Name" totalsRowLabel="Total"/>
    <tableColumn id="2" xr3:uid="{44F490BC-2CA6-F84D-84B4-3186FD4A2EAC}" name="Price" dataDxfId="3" totalsRowDxfId="2" dataCellStyle="Currency"/>
    <tableColumn id="3" xr3:uid="{4E9F6741-ABA0-C545-A781-5984B22B7F6A}" name="January" totalsRowFunction="sum"/>
    <tableColumn id="4" xr3:uid="{51817B77-2DA8-7E4C-849C-224693B29BCD}" name="February" totalsRowFunction="sum"/>
    <tableColumn id="5" xr3:uid="{A179DB5F-8220-0B4A-97A8-F4FA73DE7250}" name="March" totalsRowFunction="sum"/>
    <tableColumn id="6" xr3:uid="{F21D685F-AA2C-D14B-AC9F-1B0D1E124DBE}" name="April" totalsRowFunction="sum"/>
    <tableColumn id="7" xr3:uid="{42E0169C-C190-234C-A0FC-AF75453984FA}" name="May" totalsRowFunction="sum"/>
    <tableColumn id="8" xr3:uid="{C6A9257A-B87F-1B45-84B7-4EC1C204B28D}" name="June" totalsRowFunction="sum"/>
    <tableColumn id="9" xr3:uid="{B755724A-714B-514A-BF65-F8133742CE83}" name="July" totalsRowFunction="sum"/>
    <tableColumn id="10" xr3:uid="{84715F8F-26AE-BE4E-817E-D2EB65C04E2C}" name="August" totalsRowFunction="sum"/>
    <tableColumn id="11" xr3:uid="{77F0FCE5-E15E-074C-83D5-D0AB3A2DEB8A}" name="September" totalsRowFunction="sum"/>
    <tableColumn id="12" xr3:uid="{E2807BE3-7279-CD40-9387-6052A323D630}" name="October" totalsRowFunction="sum"/>
    <tableColumn id="13" xr3:uid="{C1EBEF5F-14F6-1F4E-B1D0-4F5AD8AE7D2E}" name="November" totalsRowFunction="sum"/>
    <tableColumn id="14" xr3:uid="{64F4E68D-BE93-2F49-868F-D9A51DF0FD6D}" name="December" totalsRowFunction="sum"/>
    <tableColumn id="15" xr3:uid="{052C653D-1FC0-4D4B-BD5E-C92989F2E315}" name="Yearly Total Sales" totalsRowFunction="sum" dataDxfId="1" totalsRowDxfId="0" dataCellStyle="Currency">
      <calculatedColumnFormula>(SUM(C2:N2)*B2)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BE43-B898-4A4B-B663-FEB300F0D802}">
  <dimension ref="A1:P10"/>
  <sheetViews>
    <sheetView tabSelected="1" zoomScaleNormal="100" workbookViewId="0">
      <selection activeCell="K18" sqref="K18"/>
    </sheetView>
  </sheetViews>
  <sheetFormatPr defaultColWidth="8.83984375" defaultRowHeight="14.4" x14ac:dyDescent="0.55000000000000004"/>
  <cols>
    <col min="1" max="1" width="14.47265625" customWidth="1"/>
    <col min="2" max="2" width="9.05078125" style="2" customWidth="1"/>
    <col min="3" max="4" width="8.41796875" customWidth="1"/>
    <col min="5" max="5" width="7.62890625" customWidth="1"/>
    <col min="6" max="6" width="7.47265625" customWidth="1"/>
    <col min="7" max="7" width="7.05078125" customWidth="1"/>
    <col min="8" max="8" width="7.20703125" customWidth="1"/>
    <col min="9" max="9" width="6.62890625" customWidth="1"/>
    <col min="10" max="10" width="8.3125" customWidth="1"/>
    <col min="11" max="11" width="11.578125" customWidth="1"/>
    <col min="12" max="12" width="8.734375" customWidth="1"/>
    <col min="13" max="13" width="10.578125" customWidth="1"/>
    <col min="14" max="14" width="10.68359375" customWidth="1"/>
    <col min="15" max="16" width="17" style="2" customWidth="1"/>
  </cols>
  <sheetData>
    <row r="1" spans="1:16" s="1" customFormat="1" x14ac:dyDescent="0.55000000000000004">
      <c r="A1" s="3" t="s">
        <v>20</v>
      </c>
      <c r="B1" s="4" t="s">
        <v>21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4" t="s">
        <v>22</v>
      </c>
      <c r="P1" s="4"/>
    </row>
    <row r="2" spans="1:16" x14ac:dyDescent="0.55000000000000004">
      <c r="A2" t="s">
        <v>11</v>
      </c>
      <c r="B2" s="2">
        <v>15</v>
      </c>
      <c r="C2">
        <v>11</v>
      </c>
      <c r="D2">
        <v>25</v>
      </c>
      <c r="E2">
        <v>17</v>
      </c>
      <c r="F2">
        <v>12</v>
      </c>
      <c r="G2">
        <v>5</v>
      </c>
      <c r="H2">
        <v>24</v>
      </c>
      <c r="I2">
        <v>4</v>
      </c>
      <c r="J2">
        <v>3</v>
      </c>
      <c r="K2">
        <v>29</v>
      </c>
      <c r="L2">
        <v>10</v>
      </c>
      <c r="M2">
        <v>44</v>
      </c>
      <c r="N2">
        <v>89</v>
      </c>
      <c r="O2" s="2">
        <f t="shared" ref="O2:O9" si="0">(SUM(C2:N2)*B2)</f>
        <v>4095</v>
      </c>
    </row>
    <row r="3" spans="1:16" x14ac:dyDescent="0.55000000000000004">
      <c r="A3" t="s">
        <v>8</v>
      </c>
      <c r="B3" s="2">
        <v>29</v>
      </c>
      <c r="C3">
        <v>69</v>
      </c>
      <c r="D3">
        <v>39</v>
      </c>
      <c r="E3">
        <v>11</v>
      </c>
      <c r="F3">
        <v>56</v>
      </c>
      <c r="G3">
        <v>32</v>
      </c>
      <c r="H3">
        <v>11</v>
      </c>
      <c r="I3">
        <v>4</v>
      </c>
      <c r="J3">
        <v>6</v>
      </c>
      <c r="K3">
        <v>67</v>
      </c>
      <c r="L3">
        <v>7</v>
      </c>
      <c r="M3">
        <v>5</v>
      </c>
      <c r="N3">
        <v>4</v>
      </c>
      <c r="O3" s="2">
        <f t="shared" si="0"/>
        <v>9019</v>
      </c>
    </row>
    <row r="4" spans="1:16" x14ac:dyDescent="0.55000000000000004">
      <c r="A4" t="s">
        <v>10</v>
      </c>
      <c r="B4" s="2">
        <v>15</v>
      </c>
      <c r="C4">
        <v>33</v>
      </c>
      <c r="D4">
        <v>5</v>
      </c>
      <c r="E4">
        <v>25</v>
      </c>
      <c r="F4">
        <v>15</v>
      </c>
      <c r="G4">
        <v>23</v>
      </c>
      <c r="H4">
        <v>5</v>
      </c>
      <c r="I4">
        <v>6</v>
      </c>
      <c r="J4">
        <v>42</v>
      </c>
      <c r="K4">
        <v>11</v>
      </c>
      <c r="L4">
        <v>5</v>
      </c>
      <c r="M4">
        <v>5</v>
      </c>
      <c r="N4">
        <v>33</v>
      </c>
      <c r="O4" s="2">
        <f t="shared" si="0"/>
        <v>3120</v>
      </c>
    </row>
    <row r="5" spans="1:16" x14ac:dyDescent="0.55000000000000004">
      <c r="A5" t="s">
        <v>9</v>
      </c>
      <c r="B5" s="2">
        <v>25</v>
      </c>
      <c r="C5">
        <v>24</v>
      </c>
      <c r="D5">
        <v>53</v>
      </c>
      <c r="E5">
        <v>42</v>
      </c>
      <c r="F5">
        <v>11</v>
      </c>
      <c r="G5">
        <v>5</v>
      </c>
      <c r="H5">
        <v>15</v>
      </c>
      <c r="I5">
        <v>2</v>
      </c>
      <c r="J5">
        <v>56</v>
      </c>
      <c r="K5">
        <v>25</v>
      </c>
      <c r="L5">
        <v>4</v>
      </c>
      <c r="M5">
        <v>5</v>
      </c>
      <c r="N5">
        <v>25</v>
      </c>
      <c r="O5" s="2">
        <f t="shared" si="0"/>
        <v>6675</v>
      </c>
    </row>
    <row r="6" spans="1:16" x14ac:dyDescent="0.55000000000000004">
      <c r="A6" t="s">
        <v>6</v>
      </c>
      <c r="B6" s="2">
        <v>677.12612612612611</v>
      </c>
      <c r="C6">
        <v>8</v>
      </c>
      <c r="D6">
        <v>11</v>
      </c>
      <c r="E6">
        <v>15</v>
      </c>
      <c r="F6">
        <v>11</v>
      </c>
      <c r="G6">
        <v>23</v>
      </c>
      <c r="H6">
        <v>23</v>
      </c>
      <c r="I6">
        <v>1</v>
      </c>
      <c r="J6">
        <v>15</v>
      </c>
      <c r="K6">
        <v>42</v>
      </c>
      <c r="L6">
        <v>23</v>
      </c>
      <c r="M6">
        <v>44</v>
      </c>
      <c r="N6">
        <v>6</v>
      </c>
      <c r="O6" s="2">
        <f t="shared" si="0"/>
        <v>150322</v>
      </c>
    </row>
    <row r="7" spans="1:16" x14ac:dyDescent="0.55000000000000004">
      <c r="A7" t="s">
        <v>12</v>
      </c>
      <c r="B7" s="2">
        <v>26</v>
      </c>
      <c r="C7">
        <v>20</v>
      </c>
      <c r="D7">
        <v>22</v>
      </c>
      <c r="E7">
        <v>23</v>
      </c>
      <c r="F7">
        <v>15</v>
      </c>
      <c r="G7">
        <v>21</v>
      </c>
      <c r="H7">
        <v>3</v>
      </c>
      <c r="I7">
        <v>23</v>
      </c>
      <c r="J7">
        <v>11</v>
      </c>
      <c r="K7">
        <v>15</v>
      </c>
      <c r="L7">
        <v>42</v>
      </c>
      <c r="M7">
        <v>11</v>
      </c>
      <c r="N7">
        <v>25</v>
      </c>
      <c r="O7" s="2">
        <f t="shared" si="0"/>
        <v>6006</v>
      </c>
    </row>
    <row r="8" spans="1:16" x14ac:dyDescent="0.55000000000000004">
      <c r="A8" t="s">
        <v>13</v>
      </c>
      <c r="B8" s="2">
        <v>45</v>
      </c>
      <c r="C8">
        <v>65</v>
      </c>
      <c r="D8">
        <v>15</v>
      </c>
      <c r="E8">
        <v>69</v>
      </c>
      <c r="F8">
        <v>69</v>
      </c>
      <c r="G8">
        <v>9</v>
      </c>
      <c r="H8">
        <v>8</v>
      </c>
      <c r="I8">
        <v>1</v>
      </c>
      <c r="J8">
        <v>11</v>
      </c>
      <c r="K8">
        <v>14</v>
      </c>
      <c r="L8">
        <v>11</v>
      </c>
      <c r="M8">
        <v>4</v>
      </c>
      <c r="N8">
        <v>42</v>
      </c>
      <c r="O8" s="2">
        <f t="shared" si="0"/>
        <v>14310</v>
      </c>
    </row>
    <row r="9" spans="1:16" x14ac:dyDescent="0.55000000000000004">
      <c r="A9" t="s">
        <v>7</v>
      </c>
      <c r="B9" s="2">
        <v>27</v>
      </c>
      <c r="C9">
        <v>22</v>
      </c>
      <c r="D9">
        <v>9</v>
      </c>
      <c r="E9">
        <v>24</v>
      </c>
      <c r="F9">
        <v>24</v>
      </c>
      <c r="G9">
        <v>69</v>
      </c>
      <c r="H9">
        <v>15</v>
      </c>
      <c r="I9">
        <v>42</v>
      </c>
      <c r="J9">
        <v>11</v>
      </c>
      <c r="K9">
        <v>5</v>
      </c>
      <c r="L9">
        <v>1</v>
      </c>
      <c r="M9">
        <v>3</v>
      </c>
      <c r="N9">
        <v>15</v>
      </c>
      <c r="O9" s="2">
        <f t="shared" si="0"/>
        <v>6480</v>
      </c>
    </row>
    <row r="10" spans="1:16" x14ac:dyDescent="0.55000000000000004">
      <c r="A10" t="s">
        <v>23</v>
      </c>
      <c r="B10" s="6"/>
      <c r="C10">
        <f>SUBTOTAL(109,Table4[January])</f>
        <v>252</v>
      </c>
      <c r="D10">
        <f>SUBTOTAL(109,Table4[February])</f>
        <v>179</v>
      </c>
      <c r="E10">
        <f>SUBTOTAL(109,Table4[March])</f>
        <v>226</v>
      </c>
      <c r="F10">
        <f>SUBTOTAL(109,Table4[April])</f>
        <v>213</v>
      </c>
      <c r="G10">
        <f>SUBTOTAL(109,Table4[May])</f>
        <v>187</v>
      </c>
      <c r="H10">
        <f>SUBTOTAL(109,Table4[June])</f>
        <v>104</v>
      </c>
      <c r="I10">
        <f>SUBTOTAL(109,Table4[July])</f>
        <v>83</v>
      </c>
      <c r="J10">
        <f>SUBTOTAL(109,Table4[August])</f>
        <v>155</v>
      </c>
      <c r="K10">
        <f>SUBTOTAL(109,Table4[September])</f>
        <v>208</v>
      </c>
      <c r="L10">
        <f>SUBTOTAL(109,Table4[October])</f>
        <v>103</v>
      </c>
      <c r="M10">
        <f>SUBTOTAL(109,Table4[November])</f>
        <v>121</v>
      </c>
      <c r="N10">
        <f>SUBTOTAL(109,Table4[December])</f>
        <v>239</v>
      </c>
      <c r="O10" s="7">
        <f>SUBTOTAL(109,Table4[Yearly Total Sales])</f>
        <v>200027</v>
      </c>
      <c r="P10" s="5"/>
    </row>
  </sheetData>
  <scenarios current="0" show="0">
    <scenario name="Current Year" locked="1" count="8" user="Windows User" comment="Actual current year numbers_x000a_Modified by Windows User on 9/6/2018">
      <inputCells r="N2" val="89"/>
      <inputCells r="N3" val="4"/>
      <inputCells r="N4" val="33"/>
      <inputCells r="N5" val="25"/>
      <inputCells r="N6" val="6"/>
      <inputCells r="N7" val="25"/>
      <inputCells r="N8" val="42"/>
      <inputCells r="N9" val="15"/>
    </scenario>
    <scenario name="Optimistic Scenario" locked="1" count="8" user="Windows User" comment="Best case scenario for December sales_x000a_Modified by Windows User on 9/6/2018">
      <inputCells r="N2" val="100"/>
      <inputCells r="N3" val="100"/>
      <inputCells r="N4" val="100"/>
      <inputCells r="N5" val="100"/>
      <inputCells r="N6" val="100"/>
      <inputCells r="N7" val="100"/>
      <inputCells r="N8" val="100"/>
      <inputCells r="N9" val="100"/>
    </scenario>
    <scenario name="Pessimistic Scenario" locked="1" count="8" user="Windows User" comment="Worst case scenario_x000a_Modified by Windows User on 9/6/2018">
      <inputCells r="N2" val="3"/>
      <inputCells r="N3" val="3"/>
      <inputCells r="N4" val="3"/>
      <inputCells r="N5" val="3"/>
      <inputCells r="N6" val="3"/>
      <inputCells r="N7" val="3"/>
      <inputCells r="N8" val="3"/>
      <inputCells r="N9" val="3"/>
    </scenario>
  </scenario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zoomScale="120" zoomScaleNormal="120" workbookViewId="0">
      <selection activeCell="Q16" sqref="P16:Q22"/>
    </sheetView>
  </sheetViews>
  <sheetFormatPr defaultColWidth="8.83984375" defaultRowHeight="14.4" x14ac:dyDescent="0.55000000000000004"/>
  <cols>
    <col min="1" max="1" width="14.20703125" bestFit="1" customWidth="1"/>
    <col min="2" max="2" width="8.3125" style="2" bestFit="1" customWidth="1"/>
    <col min="3" max="3" width="6.7890625" bestFit="1" customWidth="1"/>
    <col min="4" max="4" width="7.734375" bestFit="1" customWidth="1"/>
    <col min="5" max="5" width="5.83984375" bestFit="1" customWidth="1"/>
    <col min="6" max="6" width="4.3125" bestFit="1" customWidth="1"/>
    <col min="7" max="7" width="4.20703125" bestFit="1" customWidth="1"/>
    <col min="8" max="8" width="4.26171875" bestFit="1" customWidth="1"/>
    <col min="9" max="9" width="3.62890625" bestFit="1" customWidth="1"/>
    <col min="10" max="10" width="6.15625" bestFit="1" customWidth="1"/>
    <col min="11" max="11" width="9.3125" bestFit="1" customWidth="1"/>
    <col min="12" max="12" width="7.15625" bestFit="1" customWidth="1"/>
    <col min="13" max="13" width="9.05078125" bestFit="1" customWidth="1"/>
    <col min="15" max="15" width="15.5234375" style="2" bestFit="1" customWidth="1"/>
  </cols>
  <sheetData>
    <row r="1" spans="1:15" s="1" customFormat="1" x14ac:dyDescent="0.55000000000000004">
      <c r="A1" s="3" t="s">
        <v>20</v>
      </c>
      <c r="B1" s="4" t="s">
        <v>21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4" t="s">
        <v>22</v>
      </c>
    </row>
    <row r="2" spans="1:15" x14ac:dyDescent="0.55000000000000004">
      <c r="A2" t="s">
        <v>11</v>
      </c>
      <c r="B2" s="2">
        <v>15</v>
      </c>
      <c r="C2">
        <v>11</v>
      </c>
      <c r="D2">
        <v>25</v>
      </c>
      <c r="E2">
        <v>17</v>
      </c>
      <c r="F2">
        <v>12</v>
      </c>
      <c r="G2">
        <v>5</v>
      </c>
      <c r="H2">
        <v>24</v>
      </c>
      <c r="I2">
        <v>4</v>
      </c>
      <c r="J2">
        <v>3</v>
      </c>
      <c r="K2">
        <v>29</v>
      </c>
      <c r="L2">
        <v>10</v>
      </c>
      <c r="M2">
        <v>44</v>
      </c>
      <c r="N2">
        <v>89</v>
      </c>
      <c r="O2" s="2">
        <f>(SUM(C2:N2)*B2)</f>
        <v>4095</v>
      </c>
    </row>
    <row r="3" spans="1:15" x14ac:dyDescent="0.55000000000000004">
      <c r="A3" t="s">
        <v>8</v>
      </c>
      <c r="B3" s="2">
        <v>29</v>
      </c>
      <c r="C3">
        <v>69</v>
      </c>
      <c r="D3">
        <v>39</v>
      </c>
      <c r="E3">
        <v>11</v>
      </c>
      <c r="F3">
        <v>56</v>
      </c>
      <c r="G3">
        <v>32</v>
      </c>
      <c r="H3">
        <v>11</v>
      </c>
      <c r="I3">
        <v>4</v>
      </c>
      <c r="J3">
        <v>6</v>
      </c>
      <c r="K3">
        <v>67</v>
      </c>
      <c r="L3">
        <v>7</v>
      </c>
      <c r="M3">
        <v>5</v>
      </c>
      <c r="N3">
        <v>4</v>
      </c>
      <c r="O3" s="2">
        <f t="shared" ref="O3:O9" si="0">(SUM(C3:N3)*B3)</f>
        <v>9019</v>
      </c>
    </row>
    <row r="4" spans="1:15" x14ac:dyDescent="0.55000000000000004">
      <c r="A4" t="s">
        <v>10</v>
      </c>
      <c r="B4" s="2">
        <v>15</v>
      </c>
      <c r="C4">
        <v>33</v>
      </c>
      <c r="D4">
        <v>5</v>
      </c>
      <c r="E4">
        <v>25</v>
      </c>
      <c r="F4">
        <v>15</v>
      </c>
      <c r="G4">
        <v>23</v>
      </c>
      <c r="H4">
        <v>5</v>
      </c>
      <c r="I4">
        <v>6</v>
      </c>
      <c r="J4">
        <v>42</v>
      </c>
      <c r="K4">
        <v>11</v>
      </c>
      <c r="L4">
        <v>5</v>
      </c>
      <c r="M4">
        <v>5</v>
      </c>
      <c r="N4">
        <v>33</v>
      </c>
      <c r="O4" s="2">
        <f t="shared" si="0"/>
        <v>3120</v>
      </c>
    </row>
    <row r="5" spans="1:15" x14ac:dyDescent="0.55000000000000004">
      <c r="A5" t="s">
        <v>9</v>
      </c>
      <c r="B5" s="2">
        <v>25</v>
      </c>
      <c r="C5">
        <v>24</v>
      </c>
      <c r="D5">
        <v>53</v>
      </c>
      <c r="E5">
        <v>42</v>
      </c>
      <c r="F5">
        <v>11</v>
      </c>
      <c r="G5">
        <v>5</v>
      </c>
      <c r="H5">
        <v>15</v>
      </c>
      <c r="I5">
        <v>2</v>
      </c>
      <c r="J5">
        <v>56</v>
      </c>
      <c r="K5">
        <v>25</v>
      </c>
      <c r="L5">
        <v>4</v>
      </c>
      <c r="M5">
        <v>5</v>
      </c>
      <c r="N5">
        <v>25</v>
      </c>
      <c r="O5" s="2">
        <f t="shared" si="0"/>
        <v>6675</v>
      </c>
    </row>
    <row r="6" spans="1:15" x14ac:dyDescent="0.55000000000000004">
      <c r="A6" t="s">
        <v>6</v>
      </c>
      <c r="B6" s="2">
        <v>677.12612612612611</v>
      </c>
      <c r="C6">
        <v>8</v>
      </c>
      <c r="D6">
        <v>11</v>
      </c>
      <c r="E6">
        <v>15</v>
      </c>
      <c r="F6">
        <v>11</v>
      </c>
      <c r="G6">
        <v>23</v>
      </c>
      <c r="H6">
        <v>23</v>
      </c>
      <c r="I6">
        <v>1</v>
      </c>
      <c r="J6">
        <v>15</v>
      </c>
      <c r="K6">
        <v>42</v>
      </c>
      <c r="L6">
        <v>23</v>
      </c>
      <c r="M6">
        <v>44</v>
      </c>
      <c r="N6">
        <v>6</v>
      </c>
      <c r="O6" s="2">
        <f t="shared" si="0"/>
        <v>150322</v>
      </c>
    </row>
    <row r="7" spans="1:15" x14ac:dyDescent="0.55000000000000004">
      <c r="A7" t="s">
        <v>12</v>
      </c>
      <c r="B7" s="2">
        <v>26</v>
      </c>
      <c r="C7">
        <v>20</v>
      </c>
      <c r="D7">
        <v>22</v>
      </c>
      <c r="E7">
        <v>23</v>
      </c>
      <c r="F7">
        <v>15</v>
      </c>
      <c r="G7">
        <v>21</v>
      </c>
      <c r="H7">
        <v>3</v>
      </c>
      <c r="I7">
        <v>23</v>
      </c>
      <c r="J7">
        <v>11</v>
      </c>
      <c r="K7">
        <v>15</v>
      </c>
      <c r="L7">
        <v>42</v>
      </c>
      <c r="M7">
        <v>11</v>
      </c>
      <c r="N7">
        <v>25</v>
      </c>
      <c r="O7" s="2">
        <f t="shared" si="0"/>
        <v>6006</v>
      </c>
    </row>
    <row r="8" spans="1:15" x14ac:dyDescent="0.55000000000000004">
      <c r="A8" t="s">
        <v>13</v>
      </c>
      <c r="B8" s="2">
        <v>45</v>
      </c>
      <c r="C8">
        <v>65</v>
      </c>
      <c r="D8">
        <v>15</v>
      </c>
      <c r="E8">
        <v>69</v>
      </c>
      <c r="F8">
        <v>69</v>
      </c>
      <c r="G8">
        <v>9</v>
      </c>
      <c r="H8">
        <v>8</v>
      </c>
      <c r="I8">
        <v>1</v>
      </c>
      <c r="J8">
        <v>11</v>
      </c>
      <c r="K8">
        <v>14</v>
      </c>
      <c r="L8">
        <v>11</v>
      </c>
      <c r="M8">
        <v>4</v>
      </c>
      <c r="N8">
        <v>42</v>
      </c>
      <c r="O8" s="2">
        <f t="shared" si="0"/>
        <v>14310</v>
      </c>
    </row>
    <row r="9" spans="1:15" x14ac:dyDescent="0.55000000000000004">
      <c r="A9" t="s">
        <v>7</v>
      </c>
      <c r="B9" s="2">
        <v>27</v>
      </c>
      <c r="C9">
        <v>22</v>
      </c>
      <c r="D9">
        <v>9</v>
      </c>
      <c r="E9">
        <v>24</v>
      </c>
      <c r="F9">
        <v>24</v>
      </c>
      <c r="G9">
        <v>69</v>
      </c>
      <c r="H9">
        <v>15</v>
      </c>
      <c r="I9">
        <v>42</v>
      </c>
      <c r="J9">
        <v>11</v>
      </c>
      <c r="K9">
        <v>5</v>
      </c>
      <c r="L9">
        <v>1</v>
      </c>
      <c r="M9">
        <v>3</v>
      </c>
      <c r="N9">
        <v>15</v>
      </c>
      <c r="O9" s="2">
        <f t="shared" si="0"/>
        <v>6480</v>
      </c>
    </row>
  </sheetData>
  <scenarios current="0" show="0">
    <scenario name="Current Year" locked="1" count="8" user="Windows User" comment="Actual current year numbers_x000a_Modified by Windows User on 9/6/2018">
      <inputCells r="N2" val="89"/>
      <inputCells r="N3" val="4"/>
      <inputCells r="N4" val="33"/>
      <inputCells r="N5" val="25"/>
      <inputCells r="N6" val="6"/>
      <inputCells r="N7" val="25"/>
      <inputCells r="N8" val="42"/>
      <inputCells r="N9" val="15"/>
    </scenario>
    <scenario name="Optimistic Scenario" locked="1" count="8" user="Windows User" comment="Best case scenario for December sales_x000a_Modified by Windows User on 9/6/2018">
      <inputCells r="N2" val="100"/>
      <inputCells r="N3" val="100"/>
      <inputCells r="N4" val="100"/>
      <inputCells r="N5" val="100"/>
      <inputCells r="N6" val="100"/>
      <inputCells r="N7" val="100"/>
      <inputCells r="N8" val="100"/>
      <inputCells r="N9" val="100"/>
    </scenario>
    <scenario name="Pessimistic Scenario" locked="1" count="8" user="Windows User" comment="Worst case scenario_x000a_Modified by Windows User on 9/6/2018">
      <inputCells r="N2" val="3"/>
      <inputCells r="N3" val="3"/>
      <inputCells r="N4" val="3"/>
      <inputCells r="N5" val="3"/>
      <inputCells r="N6" val="3"/>
      <inputCells r="N7" val="3"/>
      <inputCells r="N8" val="3"/>
      <inputCells r="N9" val="3"/>
    </scenario>
  </scenario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 as Table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2018-06-04T23:13:01Z</dcterms:created>
  <dcterms:modified xsi:type="dcterms:W3CDTF">2021-02-14T03:00:56Z</dcterms:modified>
</cp:coreProperties>
</file>