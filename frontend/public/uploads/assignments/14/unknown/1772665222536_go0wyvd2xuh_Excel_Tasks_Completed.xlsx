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t 1 - Array Formulas" sheetId="1" r:id="rId1"/>
    <sheet name="Part 2 - Solver" sheetId="2" r:id="rId2"/>
    <sheet name="Part 3 - Performance" sheetId="3" r:id="rId3"/>
  </sheets>
  <calcPr calcId="124519" fullCalcOnLoad="1"/>
</workbook>
</file>

<file path=xl/sharedStrings.xml><?xml version="1.0" encoding="utf-8"?>
<sst xmlns="http://schemas.openxmlformats.org/spreadsheetml/2006/main" count="75" uniqueCount="52">
  <si>
    <t>Region</t>
  </si>
  <si>
    <t>Product</t>
  </si>
  <si>
    <t>Sales</t>
  </si>
  <si>
    <t>East</t>
  </si>
  <si>
    <t>West</t>
  </si>
  <si>
    <t>Widget A</t>
  </si>
  <si>
    <t>Widget B</t>
  </si>
  <si>
    <t>Dataset for Task 1 &amp; 2</t>
  </si>
  <si>
    <t>Task 1: CSE Array Formula</t>
  </si>
  <si>
    <t>Goal: Total Sales for Widget A in East</t>
  </si>
  <si>
    <t>Formula (CSE):</t>
  </si>
  <si>
    <t>Result:</t>
  </si>
  <si>
    <t>Task 2: SUMPRODUCT Alternative</t>
  </si>
  <si>
    <t>Formula:</t>
  </si>
  <si>
    <t>Comparison:</t>
  </si>
  <si>
    <t>SUMPRODUCT is often preferred because it handles arrays natively without requiring Ctrl+Shift+Enter (CSE) in older Excel versions. It is less prone to errors if a user forgets the CSE keystroke and is generally more readable.</t>
  </si>
  <si>
    <t>Department</t>
  </si>
  <si>
    <t>Score</t>
  </si>
  <si>
    <t>Marketing</t>
  </si>
  <si>
    <t>HR</t>
  </si>
  <si>
    <t>Dataset for Task 3</t>
  </si>
  <si>
    <t>Task 3: Conditional Ranking (2nd Highest in Marketing)</t>
  </si>
  <si>
    <t>Task 4: Theoretical Insight</t>
  </si>
  <si>
    <t>Scenario for CSE:</t>
  </si>
  <si>
    <t>Even with FILTER or SUMIFS, CSE formulas are still useful for complex nested logic that requires row-by-row evaluation before aggregation where a dedicated function doesn't exist, or when maintaining backward compatibility for workbooks that must function in Excel 2016 or earlier without Dynamic Array support.</t>
  </si>
  <si>
    <t>Task 1: Solver Engine Selection</t>
  </si>
  <si>
    <t>Scenario</t>
  </si>
  <si>
    <t>Engine</t>
  </si>
  <si>
    <t>Explanation</t>
  </si>
  <si>
    <t>a. Maximizing profit (Linear)</t>
  </si>
  <si>
    <t>Simplex LP</t>
  </si>
  <si>
    <t>The objective and constraints are linear (constant rates and fixed limits).</t>
  </si>
  <si>
    <t>b. Minimizing cost (Nonlinear)</t>
  </si>
  <si>
    <t>GRG Nonlinear</t>
  </si>
  <si>
    <t>The SQRT function is a smooth nonlinear function, making GRG Nonlinear appropriate.</t>
  </si>
  <si>
    <t>c. Optimizing scheduling (Non-smooth)</t>
  </si>
  <si>
    <t>Evolutionary</t>
  </si>
  <si>
    <t>The IF statement creates a non-smooth/discontinuous landscape where derivatives cannot be calculated.</t>
  </si>
  <si>
    <t>Task 2: Interpreting Solver Reports</t>
  </si>
  <si>
    <t>a. Which constraint is limiting profit?</t>
  </si>
  <si>
    <t>Constraint 1 (Labor Hours) is limiting profit. We know this because it is "Binding" with a Slack of 0, and it has a positive Shadow Price ($25).</t>
  </si>
  <si>
    <t>b. Impact of 1 additional hour for $20?</t>
  </si>
  <si>
    <t>The net impact would be a $5 increase in total profit. Reasoning: The Shadow Price ($25) is the increase in the objective value for 1 unit of resource. Since the cost to acquire it is $20, the net gain is $25 - $20 = $5.</t>
  </si>
  <si>
    <t>c. Additional hours before mix changes?</t>
  </si>
  <si>
    <t>You can acquire up to 20 additional hours (the Allowable Increase). If you acquire more than 20, the current optimal basis (the set of binding constraints) will change, and the Shadow Price of $25 may no longer apply.</t>
  </si>
  <si>
    <t>Task 1: Optimization Strategy</t>
  </si>
  <si>
    <t>1. Use Defined Ranges/Tables:</t>
  </si>
  <si>
    <t>Instead of A:A, use Excel Tables (Structured References) or dynamic named ranges. This limits the calculation to actual data rows rather than 1 million+ rows.</t>
  </si>
  <si>
    <t>2. Helper Columns:</t>
  </si>
  <si>
    <t>Break complex array formulas into smaller steps using helper columns. This reduces the computational load per cell and makes the workbook easier to debug.</t>
  </si>
  <si>
    <t>Task 2: Key Takeaways</t>
  </si>
  <si>
    <t>The most important lesson is that the Sensitivity Report transforms Solver from a "black box" that gives one answer into a strategic tool. Understanding Shadow Prices and Allowable Ranges allows managers to perform "what-if" analysis, justifying resource investments (like hiring or purchasing materials) based on their marginal contribution to profit.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</si>
</sst>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26" width="20.7109375" customWidth="1"/>
  </cols>
  <sheetData>
    <row r="1" spans="1:6">
      <c r="A1" t="s">
        <v>7</v>
      </c>
      <c r="E1" t="s">
        <v>8</v>
      </c>
    </row>
    <row r="2" spans="1:6">
      <c r="A2" s="1" t="s">
        <v>0</v>
      </c>
      <c r="B2" s="1" t="s">
        <v>1</v>
      </c>
      <c r="C2" s="1" t="s">
        <v>2</v>
      </c>
      <c r="E2" t="s">
        <v>9</v>
      </c>
    </row>
    <row r="3" spans="1:6">
      <c r="A3" t="s">
        <v>3</v>
      </c>
      <c r="B3" t="s">
        <v>5</v>
      </c>
      <c r="C3">
        <v>150</v>
      </c>
      <c r="E3" t="s">
        <v>10</v>
      </c>
      <c r="F3">
        <f t="array" ref="F3">SUM(IF((A3:A12="East")*(B3:B12="Widget A"),C3:C12,0))</f>
        <v>0</v>
      </c>
    </row>
    <row r="4" spans="1:6">
      <c r="A4" t="s">
        <v>4</v>
      </c>
      <c r="B4" t="s">
        <v>5</v>
      </c>
      <c r="C4">
        <v>200</v>
      </c>
      <c r="E4" t="s">
        <v>11</v>
      </c>
      <c r="F4">
        <v>540</v>
      </c>
    </row>
    <row r="5" spans="1:6">
      <c r="A5" t="s">
        <v>3</v>
      </c>
      <c r="B5" t="s">
        <v>6</v>
      </c>
      <c r="C5">
        <v>120</v>
      </c>
    </row>
    <row r="6" spans="1:6">
      <c r="A6" t="s">
        <v>4</v>
      </c>
      <c r="B6" t="s">
        <v>6</v>
      </c>
      <c r="C6">
        <v>300</v>
      </c>
      <c r="E6" t="s">
        <v>12</v>
      </c>
    </row>
    <row r="7" spans="1:6">
      <c r="A7" t="s">
        <v>3</v>
      </c>
      <c r="B7" t="s">
        <v>5</v>
      </c>
      <c r="C7">
        <v>180</v>
      </c>
      <c r="E7" t="s">
        <v>13</v>
      </c>
      <c r="F7">
        <f>SUMPRODUCT((A3:A12="East")*(B3:B12="Widget A"),C3:C12)</f>
        <v>0</v>
      </c>
    </row>
    <row r="8" spans="1:6">
      <c r="A8" t="s">
        <v>4</v>
      </c>
      <c r="B8" t="s">
        <v>6</v>
      </c>
      <c r="C8">
        <v>250</v>
      </c>
      <c r="E8" t="s">
        <v>11</v>
      </c>
      <c r="F8">
        <v>540</v>
      </c>
    </row>
    <row r="9" spans="1:6">
      <c r="A9" t="s">
        <v>3</v>
      </c>
      <c r="B9" t="s">
        <v>5</v>
      </c>
      <c r="C9">
        <v>210</v>
      </c>
      <c r="E9" t="s">
        <v>14</v>
      </c>
    </row>
    <row r="10" spans="1:6">
      <c r="A10" t="s">
        <v>4</v>
      </c>
      <c r="B10" t="s">
        <v>5</v>
      </c>
      <c r="C10">
        <v>190</v>
      </c>
      <c r="E10" t="s">
        <v>15</v>
      </c>
    </row>
    <row r="11" spans="1:6">
      <c r="A11" t="s">
        <v>3</v>
      </c>
      <c r="B11" t="s">
        <v>6</v>
      </c>
      <c r="C11">
        <v>140</v>
      </c>
    </row>
    <row r="12" spans="1:6">
      <c r="A12" t="s">
        <v>4</v>
      </c>
      <c r="B12" t="s">
        <v>5</v>
      </c>
      <c r="C12">
        <v>220</v>
      </c>
    </row>
    <row r="13" spans="1:6">
      <c r="A13" t="s">
        <v>20</v>
      </c>
      <c r="E13" t="s">
        <v>21</v>
      </c>
    </row>
    <row r="14" spans="1:6">
      <c r="A14" s="1" t="s">
        <v>16</v>
      </c>
      <c r="B14" s="1" t="s">
        <v>17</v>
      </c>
      <c r="E14" t="s">
        <v>10</v>
      </c>
      <c r="F14">
        <f t="array" ref="F14">LARGE(IF(A15:A20="Marketing",B15:B20),2)</f>
        <v>0</v>
      </c>
    </row>
    <row r="15" spans="1:6">
      <c r="A15" t="s">
        <v>18</v>
      </c>
      <c r="B15">
        <v>85</v>
      </c>
      <c r="E15" t="s">
        <v>11</v>
      </c>
      <c r="F15">
        <v>85</v>
      </c>
    </row>
    <row r="16" spans="1:6">
      <c r="A16" t="s">
        <v>2</v>
      </c>
      <c r="B16">
        <v>92</v>
      </c>
    </row>
    <row r="17" spans="1:5">
      <c r="A17" t="s">
        <v>18</v>
      </c>
      <c r="B17">
        <v>78</v>
      </c>
      <c r="E17" t="s">
        <v>22</v>
      </c>
    </row>
    <row r="18" spans="1:5">
      <c r="A18" t="s">
        <v>19</v>
      </c>
      <c r="B18">
        <v>88</v>
      </c>
      <c r="E18" t="s">
        <v>23</v>
      </c>
    </row>
    <row r="19" spans="1:5">
      <c r="A19" t="s">
        <v>18</v>
      </c>
      <c r="B19">
        <v>95</v>
      </c>
      <c r="E19" t="s">
        <v>24</v>
      </c>
    </row>
    <row r="20" spans="1:5">
      <c r="A20" t="s">
        <v>2</v>
      </c>
      <c r="B20">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
  <sheetViews>
    <sheetView workbookViewId="0"/>
  </sheetViews>
  <sheetFormatPr defaultRowHeight="15"/>
  <cols>
    <col min="1" max="26" width="20.7109375" customWidth="1"/>
  </cols>
  <sheetData>
    <row r="1" spans="1:3">
      <c r="A1" t="s">
        <v>25</v>
      </c>
    </row>
    <row r="2" spans="1:3">
      <c r="A2" t="s">
        <v>26</v>
      </c>
      <c r="B2" t="s">
        <v>27</v>
      </c>
      <c r="C2" t="s">
        <v>28</v>
      </c>
    </row>
    <row r="3" spans="1:3">
      <c r="A3" t="s">
        <v>29</v>
      </c>
      <c r="B3" t="s">
        <v>30</v>
      </c>
      <c r="C3" t="s">
        <v>31</v>
      </c>
    </row>
    <row r="4" spans="1:3">
      <c r="A4" t="s">
        <v>32</v>
      </c>
      <c r="B4" t="s">
        <v>33</v>
      </c>
      <c r="C4" t="s">
        <v>34</v>
      </c>
    </row>
    <row r="5" spans="1:3">
      <c r="A5" t="s">
        <v>35</v>
      </c>
      <c r="B5" t="s">
        <v>36</v>
      </c>
      <c r="C5" t="s">
        <v>37</v>
      </c>
    </row>
    <row r="7" spans="1:3">
      <c r="A7" t="s">
        <v>38</v>
      </c>
    </row>
    <row r="8" spans="1:3">
      <c r="A8" t="s">
        <v>39</v>
      </c>
      <c r="B8" t="s">
        <v>40</v>
      </c>
    </row>
    <row r="9" spans="1:3">
      <c r="A9" t="s">
        <v>41</v>
      </c>
      <c r="B9" t="s">
        <v>42</v>
      </c>
    </row>
    <row r="10" spans="1:3">
      <c r="A10" t="s">
        <v>43</v>
      </c>
      <c r="B10"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sheetViews>
  <sheetFormatPr defaultRowHeight="15"/>
  <cols>
    <col min="1" max="26" width="20.7109375" customWidth="1"/>
  </cols>
  <sheetData>
    <row r="1" spans="1:2">
      <c r="A1" t="s">
        <v>45</v>
      </c>
    </row>
    <row r="2" spans="1:2">
      <c r="A2" t="s">
        <v>46</v>
      </c>
      <c r="B2" t="s">
        <v>47</v>
      </c>
    </row>
    <row r="3" spans="1:2">
      <c r="A3" t="s">
        <v>48</v>
      </c>
      <c r="B3" t="s">
        <v>49</v>
      </c>
    </row>
    <row r="5" spans="1:2">
      <c r="A5" t="s">
        <v>50</v>
      </c>
      <c r="B5"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 1 - Array Formulas</vt:lpstr>
      <vt:lpstr>Part 2 - Solver</vt:lpstr>
      <vt:lpstr>Part 3 - Performance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2026-03-02T18:06:03Z</dcterms:created>
  <dcterms:modified xsi:type="dcterms:W3CDTF">2026-03-02T18:06:03Z</dcterms:modified>
</cp:coreProperties>
</file>