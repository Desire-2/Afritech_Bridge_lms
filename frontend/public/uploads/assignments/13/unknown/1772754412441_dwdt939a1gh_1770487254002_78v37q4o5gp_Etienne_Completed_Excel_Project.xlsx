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n\Desktop\"/>
    </mc:Choice>
  </mc:AlternateContent>
  <xr:revisionPtr revIDLastSave="0" documentId="8_{9B0F8920-F0B8-4638-B24C-B03AF7888173}" xr6:coauthVersionLast="47" xr6:coauthVersionMax="47" xr10:uidLastSave="{00000000-0000-0000-0000-000000000000}"/>
  <bookViews>
    <workbookView xWindow="-96" yWindow="0" windowWidth="15252" windowHeight="12336" activeTab="5" xr2:uid="{4961E65B-0E7F-416F-BE12-26E235076C01}"/>
  </bookViews>
  <sheets>
    <sheet name="Student_Grades" sheetId="1" r:id="rId1"/>
    <sheet name="Sales_Dashboard" sheetId="2" r:id="rId2"/>
    <sheet name="Sales_Analysis" sheetId="3" r:id="rId3"/>
    <sheet name="Project_Tracker" sheetId="4" r:id="rId4"/>
    <sheet name="Budget_Analysis" sheetId="5" r:id="rId5"/>
    <sheet name="Dashboard" sheetId="6" r:id="rId6"/>
  </sheet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F6" i="6"/>
  <c r="F5" i="6"/>
  <c r="F4" i="6"/>
  <c r="B15" i="5"/>
  <c r="B14" i="5"/>
  <c r="B13" i="5"/>
  <c r="B12" i="5"/>
  <c r="E3" i="5"/>
  <c r="E4" i="5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2" i="5"/>
  <c r="F2" i="5" s="1"/>
  <c r="F3" i="5"/>
  <c r="F4" i="5"/>
  <c r="B17" i="2"/>
  <c r="B16" i="2"/>
  <c r="B15" i="2"/>
  <c r="E3" i="2"/>
  <c r="E4" i="2"/>
  <c r="E5" i="2"/>
  <c r="E6" i="2"/>
  <c r="E7" i="2"/>
  <c r="E8" i="2"/>
  <c r="E9" i="2"/>
  <c r="E10" i="2"/>
  <c r="E11" i="2"/>
  <c r="E12" i="2"/>
  <c r="E13" i="2"/>
  <c r="E2" i="2"/>
  <c r="F13" i="1"/>
  <c r="G13" i="1"/>
  <c r="H13" i="1"/>
  <c r="F12" i="1"/>
  <c r="G12" i="1"/>
  <c r="H12" i="1"/>
  <c r="F11" i="1"/>
  <c r="G11" i="1"/>
  <c r="H11" i="1"/>
  <c r="F10" i="1"/>
  <c r="G10" i="1"/>
  <c r="H10" i="1"/>
  <c r="F9" i="1"/>
  <c r="G9" i="1"/>
  <c r="H9" i="1"/>
  <c r="F8" i="1"/>
  <c r="G8" i="1"/>
  <c r="H8" i="1"/>
  <c r="H2" i="1"/>
  <c r="F7" i="1"/>
  <c r="G7" i="1"/>
  <c r="H7" i="1"/>
  <c r="H3" i="1"/>
  <c r="H4" i="1"/>
  <c r="H5" i="1"/>
  <c r="H6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<sst xmlns="http://schemas.openxmlformats.org/spreadsheetml/2006/main" count="338" uniqueCount="232">
  <si>
    <t>Student ID</t>
  </si>
  <si>
    <t>Math</t>
  </si>
  <si>
    <t>Science</t>
  </si>
  <si>
    <t>English</t>
  </si>
  <si>
    <t>Total</t>
  </si>
  <si>
    <t>Average</t>
  </si>
  <si>
    <t>Grade</t>
  </si>
  <si>
    <t>John Smith</t>
  </si>
  <si>
    <t>Maria Garcia</t>
  </si>
  <si>
    <t>David Chen</t>
  </si>
  <si>
    <t>Sarah Johnson</t>
  </si>
  <si>
    <t>James Wilson</t>
  </si>
  <si>
    <t>Student name</t>
  </si>
  <si>
    <t>Lily James</t>
  </si>
  <si>
    <t>Alex sandro</t>
  </si>
  <si>
    <t>Gutty Onicka</t>
  </si>
  <si>
    <t>wet jackson</t>
  </si>
  <si>
    <t>bruce alian</t>
  </si>
  <si>
    <t>Kreen jack</t>
  </si>
  <si>
    <t>west mackeny</t>
  </si>
  <si>
    <t>Month</t>
  </si>
  <si>
    <t>Product A</t>
  </si>
  <si>
    <t>Product B</t>
  </si>
  <si>
    <t>Product 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</si>
  <si>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</si>
  <si>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</si>
  <si>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</si>
  <si>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</si>
  <si>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</si>
  <si>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</si>
  <si>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</si>
  <si>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</si>
  <si>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</si>
  <si>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</si>
  <si>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</si>
  <si>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</si>
  <si>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Average:</t>
  </si>
  <si>
    <t>Highest Month:</t>
  </si>
  <si>
    <t>Total Revenue:</t>
  </si>
  <si>
    <t>Row Labels</t>
  </si>
  <si>
    <t>Grand Total</t>
  </si>
  <si>
    <t>Sum of Total</t>
  </si>
  <si>
    <t>Task ID</t>
  </si>
  <si>
    <t>Task Name</t>
  </si>
  <si>
    <t>Assignee</t>
  </si>
  <si>
    <t>Start Date</t>
  </si>
  <si>
    <t>End Date</t>
  </si>
  <si>
    <t>Status</t>
  </si>
  <si>
    <t>% Complete</t>
  </si>
  <si>
    <t>Observation</t>
  </si>
  <si>
    <t>T001</t>
  </si>
  <si>
    <t>Research</t>
  </si>
  <si>
    <t>Alice</t>
  </si>
  <si>
    <t>In Progress</t>
  </si>
  <si>
    <t>Literature review ongoing</t>
  </si>
  <si>
    <t>T002</t>
  </si>
  <si>
    <t>Design</t>
  </si>
  <si>
    <t>Bob</t>
  </si>
  <si>
    <t>Initial design drafts completed</t>
  </si>
  <si>
    <t>T003</t>
  </si>
  <si>
    <t>Development</t>
  </si>
  <si>
    <t>Charlie</t>
  </si>
  <si>
    <t>Core modules under development</t>
  </si>
  <si>
    <t>T004</t>
  </si>
  <si>
    <t>Testing</t>
  </si>
  <si>
    <t>Diana</t>
  </si>
  <si>
    <t>Not Started</t>
  </si>
  <si>
    <t>Test plan preparation started</t>
  </si>
  <si>
    <t>T005</t>
  </si>
  <si>
    <t>Deployment</t>
  </si>
  <si>
    <t>Awaiting system readiness</t>
  </si>
  <si>
    <t>T006</t>
  </si>
  <si>
    <t>Requirement Review</t>
  </si>
  <si>
    <t>Requirements being validated</t>
  </si>
  <si>
    <t>T007</t>
  </si>
  <si>
    <t>UI Mockups</t>
  </si>
  <si>
    <t>Mockups under review</t>
  </si>
  <si>
    <t>T008</t>
  </si>
  <si>
    <t>Database Design</t>
  </si>
  <si>
    <t>Schema design in progress</t>
  </si>
  <si>
    <t>T009</t>
  </si>
  <si>
    <t>API Planning</t>
  </si>
  <si>
    <t>API endpoints identified</t>
  </si>
  <si>
    <t>T010</t>
  </si>
  <si>
    <t>Risk Analysis</t>
  </si>
  <si>
    <t>Major risks documented</t>
  </si>
  <si>
    <t>T011</t>
  </si>
  <si>
    <t>Prototype</t>
  </si>
  <si>
    <t>Prototype partially built</t>
  </si>
  <si>
    <t>T012</t>
  </si>
  <si>
    <t>Data Collection</t>
  </si>
  <si>
    <t>Initial data gathered</t>
  </si>
  <si>
    <t>T013</t>
  </si>
  <si>
    <t>Stakeholder Meeting</t>
  </si>
  <si>
    <t>Completed</t>
  </si>
  <si>
    <t>Meeting outcomes recorded</t>
  </si>
  <si>
    <t>T014</t>
  </si>
  <si>
    <t>System Architecture</t>
  </si>
  <si>
    <t>Architecture draft prepared</t>
  </si>
  <si>
    <t>T015</t>
  </si>
  <si>
    <t>Backend Setup</t>
  </si>
  <si>
    <t>Server configuration ongoing</t>
  </si>
  <si>
    <t>T016</t>
  </si>
  <si>
    <t>Frontend Setup</t>
  </si>
  <si>
    <t>UI framework setup</t>
  </si>
  <si>
    <t>T017</t>
  </si>
  <si>
    <t>Security Review</t>
  </si>
  <si>
    <t>Security checklist created</t>
  </si>
  <si>
    <t>T018</t>
  </si>
  <si>
    <t>Integration Plan</t>
  </si>
  <si>
    <t>Integration strategy defined</t>
  </si>
  <si>
    <t>T019</t>
  </si>
  <si>
    <t>Code Review</t>
  </si>
  <si>
    <t>Pending development progress</t>
  </si>
  <si>
    <t>T020</t>
  </si>
  <si>
    <t>User Stories</t>
  </si>
  <si>
    <t>Stories being finalized</t>
  </si>
  <si>
    <t>T021</t>
  </si>
  <si>
    <t>Performance Plan</t>
  </si>
  <si>
    <t>Metrics identified</t>
  </si>
  <si>
    <t>T022</t>
  </si>
  <si>
    <t>Version Control</t>
  </si>
  <si>
    <t>Repository structured</t>
  </si>
  <si>
    <t>T023</t>
  </si>
  <si>
    <t>Module A Dev</t>
  </si>
  <si>
    <t>Module A under coding</t>
  </si>
  <si>
    <t>T024</t>
  </si>
  <si>
    <t>Module B Dev</t>
  </si>
  <si>
    <t>Core logic in progress</t>
  </si>
  <si>
    <t>T025</t>
  </si>
  <si>
    <t>Documentation</t>
  </si>
  <si>
    <t>Draft documentation written</t>
  </si>
  <si>
    <t>T026</t>
  </si>
  <si>
    <t>QA Strategy</t>
  </si>
  <si>
    <t>QA approach defined</t>
  </si>
  <si>
    <t>T027</t>
  </si>
  <si>
    <t>Data Cleaning</t>
  </si>
  <si>
    <t>Raw data being cleaned</t>
  </si>
  <si>
    <t>T028</t>
  </si>
  <si>
    <t>User Feedback</t>
  </si>
  <si>
    <t>Feedback tools selected</t>
  </si>
  <si>
    <t>T029</t>
  </si>
  <si>
    <t>Feature Review</t>
  </si>
  <si>
    <t>Features under evaluation</t>
  </si>
  <si>
    <t>T030</t>
  </si>
  <si>
    <t>Bug Tracking</t>
  </si>
  <si>
    <t>Bug list initialized</t>
  </si>
  <si>
    <t>T031</t>
  </si>
  <si>
    <t>Training Plan</t>
  </si>
  <si>
    <t>Training outline prepared</t>
  </si>
  <si>
    <t>T032</t>
  </si>
  <si>
    <t>Test Scripts</t>
  </si>
  <si>
    <t>Scripts being written</t>
  </si>
  <si>
    <t>T033</t>
  </si>
  <si>
    <t>Data Migration</t>
  </si>
  <si>
    <t>Migration plan drafted</t>
  </si>
  <si>
    <t>T034</t>
  </si>
  <si>
    <t>Backup Setup</t>
  </si>
  <si>
    <t>Backup tools identified</t>
  </si>
  <si>
    <t>T035</t>
  </si>
  <si>
    <t>Load Testing</t>
  </si>
  <si>
    <t>Load scenarios planned</t>
  </si>
  <si>
    <t>T036</t>
  </si>
  <si>
    <t>UX Review</t>
  </si>
  <si>
    <t>UX feedback incorporated</t>
  </si>
  <si>
    <t>T037</t>
  </si>
  <si>
    <t>Compliance Check</t>
  </si>
  <si>
    <t>Compliance gaps noted</t>
  </si>
  <si>
    <t>T038</t>
  </si>
  <si>
    <t>Release Notes</t>
  </si>
  <si>
    <t>Initial notes drafted</t>
  </si>
  <si>
    <t>T039</t>
  </si>
  <si>
    <t>Final Review</t>
  </si>
  <si>
    <t>Awaiting inputs</t>
  </si>
  <si>
    <t>T040</t>
  </si>
  <si>
    <t>Pilot Testing</t>
  </si>
  <si>
    <t>Pilot scope defined</t>
  </si>
  <si>
    <t>T041</t>
  </si>
  <si>
    <t>Deployment Prep</t>
  </si>
  <si>
    <t>Environment prepared</t>
  </si>
  <si>
    <t>T042</t>
  </si>
  <si>
    <t>User Manual</t>
  </si>
  <si>
    <t>Manual draft ongoing</t>
  </si>
  <si>
    <t>T043</t>
  </si>
  <si>
    <t>System Audit</t>
  </si>
  <si>
    <t>Audit checklist ready</t>
  </si>
  <si>
    <t>T044</t>
  </si>
  <si>
    <t>Feedback Review</t>
  </si>
  <si>
    <t>Feedback analysis started</t>
  </si>
  <si>
    <t>T045</t>
  </si>
  <si>
    <t>Optimization</t>
  </si>
  <si>
    <t>Performance tuning ongoing</t>
  </si>
  <si>
    <t>T046</t>
  </si>
  <si>
    <t>Final Testing</t>
  </si>
  <si>
    <t>Pending test execution</t>
  </si>
  <si>
    <t>T047</t>
  </si>
  <si>
    <t>Approval Process</t>
  </si>
  <si>
    <t>Approval workflow defined</t>
  </si>
  <si>
    <t>T048</t>
  </si>
  <si>
    <t>Rollout Plan</t>
  </si>
  <si>
    <t>Rollout steps outlined</t>
  </si>
  <si>
    <t>T049</t>
  </si>
  <si>
    <t>Go-Live Support</t>
  </si>
  <si>
    <t>Support team identified</t>
  </si>
  <si>
    <t>T050</t>
  </si>
  <si>
    <t>Post-Implementation Review</t>
  </si>
  <si>
    <t>Review framework prepared</t>
  </si>
  <si>
    <t>Category</t>
  </si>
  <si>
    <t>Budget</t>
  </si>
  <si>
    <t>Q1 Actual</t>
  </si>
  <si>
    <t>Q2 Actual</t>
  </si>
  <si>
    <t>Variance</t>
  </si>
  <si>
    <t>% Variance</t>
  </si>
  <si>
    <t>Marketing</t>
  </si>
  <si>
    <t>Salaries</t>
  </si>
  <si>
    <t>Office Supplies</t>
  </si>
  <si>
    <t>Software</t>
  </si>
  <si>
    <t>Travel</t>
  </si>
  <si>
    <t>Utilities</t>
  </si>
  <si>
    <t>Training</t>
  </si>
  <si>
    <t>Maintenance</t>
  </si>
  <si>
    <t>Insurance</t>
  </si>
  <si>
    <t>Communication</t>
  </si>
  <si>
    <t>Total Budget:</t>
  </si>
  <si>
    <t>Total Actual:</t>
  </si>
  <si>
    <t>Overall Variance:</t>
  </si>
  <si>
    <t>Largest Overspend:</t>
  </si>
  <si>
    <t>Total Students:</t>
  </si>
  <si>
    <t>Excel Tables Assignment Project</t>
  </si>
  <si>
    <t>Total Sales:</t>
  </si>
  <si>
    <t>Active Projects:</t>
  </si>
  <si>
    <t>Budget Status: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</si>
</sst>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F1115"/>
      <name val="Calibri"/>
      <family val="2"/>
      <scheme val="minor"/>
    </font>
    <font>
      <b/>
      <sz val="18"/>
      <color rgb="FF0F1115"/>
      <name val="Calibri"/>
      <family val="2"/>
      <scheme val="minor"/>
    </font>
    <font>
      <sz val="12"/>
      <name val="Bahnschrift 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3" fontId="3" fillId="0" borderId="0" xfId="0" applyNumberFormat="1" applyFont="1" applyAlignment="1">
      <alignment horizontal="left" vertical="center" indent="1"/>
    </xf>
    <xf numFmtId="1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9" fontId="3" fillId="0" borderId="0" xfId="1" applyFo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 indent="1"/>
    </xf>
    <xf numFmtId="3" fontId="5" fillId="2" borderId="0" xfId="0" applyNumberFormat="1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Product Sales Trend</a:t>
            </a:r>
            <a:endParaRPr lang="en-US"/>
          </a:p>
        </c:rich>
      </c:tx>
      <c:layout>
        <c:manualLayout>
          <c:xMode val="edge"/>
          <c:yMode val="edge"/>
          <c:x val="0.206715223097112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Sales_Dashboard!$B$1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Sales_Dashboard!$B$2:$B$13</c:f>
              <c:numCache>
                <c:formatCode>#,##0</c:formatCode>
                <c:ptCount val="12"/>
                <c:pt idx="0">
                  <c:v>12500</c:v>
                </c:pt>
                <c:pt idx="1">
                  <c:v>13200</c:v>
                </c:pt>
                <c:pt idx="2">
                  <c:v>14100</c:v>
                </c:pt>
                <c:pt idx="3">
                  <c:v>13800</c:v>
                </c:pt>
                <c:pt idx="4">
                  <c:v>14500</c:v>
                </c:pt>
                <c:pt idx="5">
                  <c:v>15000</c:v>
                </c:pt>
                <c:pt idx="6">
                  <c:v>15300</c:v>
                </c:pt>
                <c:pt idx="7">
                  <c:v>14900</c:v>
                </c:pt>
                <c:pt idx="8">
                  <c:v>15600</c:v>
                </c:pt>
                <c:pt idx="9">
                  <c:v>16200</c:v>
                </c:pt>
                <c:pt idx="10">
                  <c:v>16800</c:v>
                </c:pt>
                <c:pt idx="11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7-44D9-BC3F-46BE14282D1F}"/>
            </c:ext>
          </c:extLst>
        </c:ser>
        <c:ser>
          <c:idx val="1"/>
          <c:order val="1"/>
          <c:tx>
            <c:strRef>
              <c:f>Sales_Dashboard!$C$1</c:f>
              <c:strCache>
                <c:ptCount val="1"/>
                <c:pt idx="0">
                  <c:v>Product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Sales_Dashboard!$A$2:$A$13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Sales_Dashboard!$C$2:$C$13</c:f>
              <c:numCache>
                <c:formatCode>#,##0</c:formatCode>
                <c:ptCount val="12"/>
                <c:pt idx="0">
                  <c:v>9800</c:v>
                </c:pt>
                <c:pt idx="1">
                  <c:v>10500</c:v>
                </c:pt>
                <c:pt idx="2">
                  <c:v>9200</c:v>
                </c:pt>
                <c:pt idx="3">
                  <c:v>10000</c:v>
                </c:pt>
                <c:pt idx="4">
                  <c:v>10800</c:v>
                </c:pt>
                <c:pt idx="5">
                  <c:v>11200</c:v>
                </c:pt>
                <c:pt idx="6">
                  <c:v>11500</c:v>
                </c:pt>
                <c:pt idx="7">
                  <c:v>11000</c:v>
                </c:pt>
                <c:pt idx="8">
                  <c:v>11700</c:v>
                </c:pt>
                <c:pt idx="9">
                  <c:v>12100</c:v>
                </c:pt>
                <c:pt idx="10">
                  <c:v>12500</c:v>
                </c:pt>
                <c:pt idx="11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7-44D9-BC3F-46BE14282D1F}"/>
            </c:ext>
          </c:extLst>
        </c:ser>
        <c:ser>
          <c:idx val="2"/>
          <c:order val="2"/>
          <c:tx>
            <c:strRef>
              <c:f>Sales_Dashboard!$D$1</c:f>
              <c:strCache>
                <c:ptCount val="1"/>
                <c:pt idx="0">
                  <c:v>Product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Sales_Dashboard!$A$2:$A$13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Sales_Dashboard!$D$2:$D$13</c:f>
              <c:numCache>
                <c:formatCode>#,##0</c:formatCode>
                <c:ptCount val="12"/>
                <c:pt idx="0">
                  <c:v>11200</c:v>
                </c:pt>
                <c:pt idx="1">
                  <c:v>11800</c:v>
                </c:pt>
                <c:pt idx="2">
                  <c:v>12500</c:v>
                </c:pt>
                <c:pt idx="3">
                  <c:v>12200</c:v>
                </c:pt>
                <c:pt idx="4">
                  <c:v>12900</c:v>
                </c:pt>
                <c:pt idx="5">
                  <c:v>13500</c:v>
                </c:pt>
                <c:pt idx="6">
                  <c:v>13800</c:v>
                </c:pt>
                <c:pt idx="7">
                  <c:v>13400</c:v>
                </c:pt>
                <c:pt idx="8">
                  <c:v>14100</c:v>
                </c:pt>
                <c:pt idx="9">
                  <c:v>14800</c:v>
                </c:pt>
                <c:pt idx="10">
                  <c:v>15200</c:v>
                </c:pt>
                <c:pt idx="11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7-44D9-BC3F-46BE14282D1F}"/>
            </c:ext>
          </c:extLst>
        </c:ser>
        <c:ser>
          <c:idx val="3"/>
          <c:order val="3"/>
          <c:tx>
            <c:strRef>
              <c:f>Sales_Dashboard!$E$1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Sales_Dashboard!$A$2:$A$13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Sales_Dashboard!$E$2:$E$13</c:f>
              <c:numCache>
                <c:formatCode>#,##0</c:formatCode>
                <c:ptCount val="12"/>
                <c:pt idx="0">
                  <c:v>33500</c:v>
                </c:pt>
                <c:pt idx="1">
                  <c:v>35500</c:v>
                </c:pt>
                <c:pt idx="2">
                  <c:v>35800</c:v>
                </c:pt>
                <c:pt idx="3">
                  <c:v>36000</c:v>
                </c:pt>
                <c:pt idx="4">
                  <c:v>38200</c:v>
                </c:pt>
                <c:pt idx="5">
                  <c:v>39700</c:v>
                </c:pt>
                <c:pt idx="6">
                  <c:v>40600</c:v>
                </c:pt>
                <c:pt idx="7">
                  <c:v>39300</c:v>
                </c:pt>
                <c:pt idx="8">
                  <c:v>41400</c:v>
                </c:pt>
                <c:pt idx="9">
                  <c:v>43100</c:v>
                </c:pt>
                <c:pt idx="10">
                  <c:v>44500</c:v>
                </c:pt>
                <c:pt idx="11">
                  <c:v>46500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7-44D9-BC3F-46BE14282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477296"/>
        <c:axId val="539478256"/>
      </c:lineChart>
      <c:catAx>
        <c:axId val="53947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8256"/>
        <c:crosses val="autoZero"/>
        <c:auto val="1"/>
        <c:lblAlgn val="ctr"/>
        <c:lblOffset val="100"/>
        <c:noMultiLvlLbl val="0"/>
      </c:catAx>
      <c:valAx>
        <c:axId val="5394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1FF20D7-F706-4CD8-8ECF-C968D5881EAA}" type="doc">
      <dgm:prSet loTypeId="urn:microsoft.com/office/officeart/2005/8/layout/process1" loCatId="process" qsTypeId="urn:microsoft.com/office/officeart/2005/8/quickstyle/simple3" qsCatId="simple" csTypeId="urn:microsoft.com/office/officeart/2005/8/colors/accent1_2" csCatId="accent1" phldr="1"/>
      <dgm:spPr/>
    </dgm:pt>
    <dgm:pt modelId="{76EE2BDC-5C21-4181-B86B-0F841011EEAF}">
      <dgm:prSet phldrT="[Text]"/>
      <dgm:spPr/>
      <dgm:t>
        <a:bodyPr/>
        <a:lstStyle/>
        <a:p>
          <a:pPr>
            <a:buNone/>
          </a:pPr>
          <a:r>
            <a:rPr lang="en-US" b="0" i="0"/>
            <a:t>major milestones</a:t>
          </a:r>
          <a:endParaRPr lang="en-US"/>
        </a:p>
      </dgm:t>
    </dgm:pt>
    <dgm:pt modelId="{6B828788-12FE-4C08-9D16-F730A2F96817}" type="parTrans" cxnId="{126042F5-0191-4EF8-86BE-B5BFDF599916}">
      <dgm:prSet/>
      <dgm:spPr/>
      <dgm:t>
        <a:bodyPr/>
        <a:lstStyle/>
        <a:p>
          <a:endParaRPr lang="en-US"/>
        </a:p>
      </dgm:t>
    </dgm:pt>
    <dgm:pt modelId="{A89AA36D-516A-4733-AEDD-7AADF7B1E022}" type="sibTrans" cxnId="{126042F5-0191-4EF8-86BE-B5BFDF599916}">
      <dgm:prSet/>
      <dgm:spPr/>
      <dgm:t>
        <a:bodyPr/>
        <a:lstStyle/>
        <a:p>
          <a:endParaRPr lang="en-US"/>
        </a:p>
      </dgm:t>
    </dgm:pt>
    <dgm:pt modelId="{61128A66-49DD-4E6E-AFE7-F892760439A8}">
      <dgm:prSet phldrT="[Text]"/>
      <dgm:spPr/>
      <dgm:t>
        <a:bodyPr/>
        <a:lstStyle/>
        <a:p>
          <a:r>
            <a:rPr lang="en-US"/>
            <a:t>Century</a:t>
          </a:r>
        </a:p>
      </dgm:t>
    </dgm:pt>
    <dgm:pt modelId="{C1973246-0C36-4C99-BEB4-6EC886D42B24}" type="parTrans" cxnId="{FB8EBF73-918E-4A91-BD9F-143CB70BB607}">
      <dgm:prSet/>
      <dgm:spPr/>
      <dgm:t>
        <a:bodyPr/>
        <a:lstStyle/>
        <a:p>
          <a:endParaRPr lang="en-US"/>
        </a:p>
      </dgm:t>
    </dgm:pt>
    <dgm:pt modelId="{C42F1CBD-4CC7-4D84-AE6A-58E1D998EA8D}" type="sibTrans" cxnId="{FB8EBF73-918E-4A91-BD9F-143CB70BB607}">
      <dgm:prSet/>
      <dgm:spPr/>
      <dgm:t>
        <a:bodyPr/>
        <a:lstStyle/>
        <a:p>
          <a:endParaRPr lang="en-US"/>
        </a:p>
      </dgm:t>
    </dgm:pt>
    <dgm:pt modelId="{29247545-3A54-485C-8A64-6D44E666F754}">
      <dgm:prSet phldrT="[Text]"/>
      <dgm:spPr/>
      <dgm:t>
        <a:bodyPr/>
        <a:lstStyle/>
        <a:p>
          <a:r>
            <a:rPr lang="en-US"/>
            <a:t>Decade</a:t>
          </a:r>
        </a:p>
      </dgm:t>
    </dgm:pt>
    <dgm:pt modelId="{3DC30DA0-DAB1-4E70-87E9-134667F6ADB6}" type="parTrans" cxnId="{1B5726B2-7AD6-4B32-AF6D-B5314A74D3F0}">
      <dgm:prSet/>
      <dgm:spPr/>
      <dgm:t>
        <a:bodyPr/>
        <a:lstStyle/>
        <a:p>
          <a:endParaRPr lang="en-US"/>
        </a:p>
      </dgm:t>
    </dgm:pt>
    <dgm:pt modelId="{74A6D6BD-CF4B-4E33-9E18-9773C9F6E80F}" type="sibTrans" cxnId="{1B5726B2-7AD6-4B32-AF6D-B5314A74D3F0}">
      <dgm:prSet/>
      <dgm:spPr/>
      <dgm:t>
        <a:bodyPr/>
        <a:lstStyle/>
        <a:p>
          <a:endParaRPr lang="en-US"/>
        </a:p>
      </dgm:t>
    </dgm:pt>
    <dgm:pt modelId="{9C816CA2-89A7-42F1-9333-5EA75C48FD57}" type="pres">
      <dgm:prSet presAssocID="{61FF20D7-F706-4CD8-8ECF-C968D5881EAA}" presName="Name0" presStyleCnt="0">
        <dgm:presLayoutVars>
          <dgm:dir/>
          <dgm:resizeHandles val="exact"/>
        </dgm:presLayoutVars>
      </dgm:prSet>
      <dgm:spPr/>
    </dgm:pt>
    <dgm:pt modelId="{9B5ED41A-BA77-45AF-A15B-6EC8FCC291EF}" type="pres">
      <dgm:prSet presAssocID="{76EE2BDC-5C21-4181-B86B-0F841011EEAF}" presName="node" presStyleLbl="node1" presStyleIdx="0" presStyleCnt="3" custLinFactNeighborX="3172" custLinFactNeighborY="1057">
        <dgm:presLayoutVars>
          <dgm:bulletEnabled val="1"/>
        </dgm:presLayoutVars>
      </dgm:prSet>
      <dgm:spPr/>
    </dgm:pt>
    <dgm:pt modelId="{6839FD5F-8014-4937-B622-D4C2ADA1A92B}" type="pres">
      <dgm:prSet presAssocID="{A89AA36D-516A-4733-AEDD-7AADF7B1E022}" presName="sibTrans" presStyleLbl="sibTrans2D1" presStyleIdx="0" presStyleCnt="2"/>
      <dgm:spPr/>
    </dgm:pt>
    <dgm:pt modelId="{3E87B193-8EFF-4CC9-AAE7-F1C20A81B2C2}" type="pres">
      <dgm:prSet presAssocID="{A89AA36D-516A-4733-AEDD-7AADF7B1E022}" presName="connectorText" presStyleLbl="sibTrans2D1" presStyleIdx="0" presStyleCnt="2"/>
      <dgm:spPr/>
    </dgm:pt>
    <dgm:pt modelId="{B335636B-C930-4FCB-9BCD-A88544BA49C5}" type="pres">
      <dgm:prSet presAssocID="{61128A66-49DD-4E6E-AFE7-F892760439A8}" presName="node" presStyleLbl="node1" presStyleIdx="1" presStyleCnt="3">
        <dgm:presLayoutVars>
          <dgm:bulletEnabled val="1"/>
        </dgm:presLayoutVars>
      </dgm:prSet>
      <dgm:spPr/>
    </dgm:pt>
    <dgm:pt modelId="{3511321E-B098-475F-B68B-16FA1C9B3A54}" type="pres">
      <dgm:prSet presAssocID="{C42F1CBD-4CC7-4D84-AE6A-58E1D998EA8D}" presName="sibTrans" presStyleLbl="sibTrans2D1" presStyleIdx="1" presStyleCnt="2"/>
      <dgm:spPr/>
    </dgm:pt>
    <dgm:pt modelId="{DFCC4BD8-197E-425D-96CC-8B25B32B409A}" type="pres">
      <dgm:prSet presAssocID="{C42F1CBD-4CC7-4D84-AE6A-58E1D998EA8D}" presName="connectorText" presStyleLbl="sibTrans2D1" presStyleIdx="1" presStyleCnt="2"/>
      <dgm:spPr/>
    </dgm:pt>
    <dgm:pt modelId="{A7C19949-958A-4D8B-AAE1-0D7928428F91}" type="pres">
      <dgm:prSet presAssocID="{29247545-3A54-485C-8A64-6D44E666F754}" presName="node" presStyleLbl="node1" presStyleIdx="2" presStyleCnt="3">
        <dgm:presLayoutVars>
          <dgm:bulletEnabled val="1"/>
        </dgm:presLayoutVars>
      </dgm:prSet>
      <dgm:spPr/>
    </dgm:pt>
  </dgm:ptLst>
  <dgm:cxnLst>
    <dgm:cxn modelId="{0F3B5215-20F5-42AF-BA27-7FE4DB7D8044}" type="presOf" srcId="{C42F1CBD-4CC7-4D84-AE6A-58E1D998EA8D}" destId="{DFCC4BD8-197E-425D-96CC-8B25B32B409A}" srcOrd="1" destOrd="0" presId="urn:microsoft.com/office/officeart/2005/8/layout/process1"/>
    <dgm:cxn modelId="{049FDE31-C678-42AB-8E5D-C98559648610}" type="presOf" srcId="{76EE2BDC-5C21-4181-B86B-0F841011EEAF}" destId="{9B5ED41A-BA77-45AF-A15B-6EC8FCC291EF}" srcOrd="0" destOrd="0" presId="urn:microsoft.com/office/officeart/2005/8/layout/process1"/>
    <dgm:cxn modelId="{36036035-C59B-47E8-9B39-372C093A36E1}" type="presOf" srcId="{A89AA36D-516A-4733-AEDD-7AADF7B1E022}" destId="{3E87B193-8EFF-4CC9-AAE7-F1C20A81B2C2}" srcOrd="1" destOrd="0" presId="urn:microsoft.com/office/officeart/2005/8/layout/process1"/>
    <dgm:cxn modelId="{48B9F851-EFF1-4818-B3F4-687471147C51}" type="presOf" srcId="{61FF20D7-F706-4CD8-8ECF-C968D5881EAA}" destId="{9C816CA2-89A7-42F1-9333-5EA75C48FD57}" srcOrd="0" destOrd="0" presId="urn:microsoft.com/office/officeart/2005/8/layout/process1"/>
    <dgm:cxn modelId="{14517E72-F2BE-4D9C-83A4-98DC4CDCE905}" type="presOf" srcId="{61128A66-49DD-4E6E-AFE7-F892760439A8}" destId="{B335636B-C930-4FCB-9BCD-A88544BA49C5}" srcOrd="0" destOrd="0" presId="urn:microsoft.com/office/officeart/2005/8/layout/process1"/>
    <dgm:cxn modelId="{FB8EBF73-918E-4A91-BD9F-143CB70BB607}" srcId="{61FF20D7-F706-4CD8-8ECF-C968D5881EAA}" destId="{61128A66-49DD-4E6E-AFE7-F892760439A8}" srcOrd="1" destOrd="0" parTransId="{C1973246-0C36-4C99-BEB4-6EC886D42B24}" sibTransId="{C42F1CBD-4CC7-4D84-AE6A-58E1D998EA8D}"/>
    <dgm:cxn modelId="{381E7081-759F-447F-B163-E86CF2AB630E}" type="presOf" srcId="{C42F1CBD-4CC7-4D84-AE6A-58E1D998EA8D}" destId="{3511321E-B098-475F-B68B-16FA1C9B3A54}" srcOrd="0" destOrd="0" presId="urn:microsoft.com/office/officeart/2005/8/layout/process1"/>
    <dgm:cxn modelId="{1B5726B2-7AD6-4B32-AF6D-B5314A74D3F0}" srcId="{61FF20D7-F706-4CD8-8ECF-C968D5881EAA}" destId="{29247545-3A54-485C-8A64-6D44E666F754}" srcOrd="2" destOrd="0" parTransId="{3DC30DA0-DAB1-4E70-87E9-134667F6ADB6}" sibTransId="{74A6D6BD-CF4B-4E33-9E18-9773C9F6E80F}"/>
    <dgm:cxn modelId="{435B5FD9-A25B-4B20-B4BA-10E7C65BABD3}" type="presOf" srcId="{A89AA36D-516A-4733-AEDD-7AADF7B1E022}" destId="{6839FD5F-8014-4937-B622-D4C2ADA1A92B}" srcOrd="0" destOrd="0" presId="urn:microsoft.com/office/officeart/2005/8/layout/process1"/>
    <dgm:cxn modelId="{126042F5-0191-4EF8-86BE-B5BFDF599916}" srcId="{61FF20D7-F706-4CD8-8ECF-C968D5881EAA}" destId="{76EE2BDC-5C21-4181-B86B-0F841011EEAF}" srcOrd="0" destOrd="0" parTransId="{6B828788-12FE-4C08-9D16-F730A2F96817}" sibTransId="{A89AA36D-516A-4733-AEDD-7AADF7B1E022}"/>
    <dgm:cxn modelId="{5A8C1EF6-F39F-4C0F-A273-3C4043CBF8EF}" type="presOf" srcId="{29247545-3A54-485C-8A64-6D44E666F754}" destId="{A7C19949-958A-4D8B-AAE1-0D7928428F91}" srcOrd="0" destOrd="0" presId="urn:microsoft.com/office/officeart/2005/8/layout/process1"/>
    <dgm:cxn modelId="{4724B2D5-258B-41B4-B9E3-3373B6232BB5}" type="presParOf" srcId="{9C816CA2-89A7-42F1-9333-5EA75C48FD57}" destId="{9B5ED41A-BA77-45AF-A15B-6EC8FCC291EF}" srcOrd="0" destOrd="0" presId="urn:microsoft.com/office/officeart/2005/8/layout/process1"/>
    <dgm:cxn modelId="{0C321D20-F421-4074-8B3A-3895AAD1B5E7}" type="presParOf" srcId="{9C816CA2-89A7-42F1-9333-5EA75C48FD57}" destId="{6839FD5F-8014-4937-B622-D4C2ADA1A92B}" srcOrd="1" destOrd="0" presId="urn:microsoft.com/office/officeart/2005/8/layout/process1"/>
    <dgm:cxn modelId="{06BF9D90-0DDD-4635-96CF-F0E251F8A30F}" type="presParOf" srcId="{6839FD5F-8014-4937-B622-D4C2ADA1A92B}" destId="{3E87B193-8EFF-4CC9-AAE7-F1C20A81B2C2}" srcOrd="0" destOrd="0" presId="urn:microsoft.com/office/officeart/2005/8/layout/process1"/>
    <dgm:cxn modelId="{679BB30E-C600-49E3-A076-0C5791A57D09}" type="presParOf" srcId="{9C816CA2-89A7-42F1-9333-5EA75C48FD57}" destId="{B335636B-C930-4FCB-9BCD-A88544BA49C5}" srcOrd="2" destOrd="0" presId="urn:microsoft.com/office/officeart/2005/8/layout/process1"/>
    <dgm:cxn modelId="{D2484B05-76FA-4600-AFA0-3281976E9045}" type="presParOf" srcId="{9C816CA2-89A7-42F1-9333-5EA75C48FD57}" destId="{3511321E-B098-475F-B68B-16FA1C9B3A54}" srcOrd="3" destOrd="0" presId="urn:microsoft.com/office/officeart/2005/8/layout/process1"/>
    <dgm:cxn modelId="{A6E889BA-71B3-48DF-AD40-7E41937D63B6}" type="presParOf" srcId="{3511321E-B098-475F-B68B-16FA1C9B3A54}" destId="{DFCC4BD8-197E-425D-96CC-8B25B32B409A}" srcOrd="0" destOrd="0" presId="urn:microsoft.com/office/officeart/2005/8/layout/process1"/>
    <dgm:cxn modelId="{C6657B38-35A6-4F85-98BF-316D0BD69467}" type="presParOf" srcId="{9C816CA2-89A7-42F1-9333-5EA75C48FD57}" destId="{A7C19949-958A-4D8B-AAE1-0D7928428F91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5ED41A-BA77-45AF-A15B-6EC8FCC291EF}">
      <dsp:nvSpPr>
        <dsp:cNvPr id="0" name=""/>
        <dsp:cNvSpPr/>
      </dsp:nvSpPr>
      <dsp:spPr>
        <a:xfrm>
          <a:off x="19257" y="1018904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0" i="0" kern="1200"/>
            <a:t>major milestones</a:t>
          </a:r>
          <a:endParaRPr lang="en-US" sz="1800" kern="1200"/>
        </a:p>
      </dsp:txBody>
      <dsp:txXfrm>
        <a:off x="40363" y="1040010"/>
        <a:ext cx="1158830" cy="678413"/>
      </dsp:txXfrm>
    </dsp:sp>
    <dsp:sp modelId="{6839FD5F-8014-4937-B622-D4C2ADA1A92B}">
      <dsp:nvSpPr>
        <dsp:cNvPr id="0" name=""/>
        <dsp:cNvSpPr/>
      </dsp:nvSpPr>
      <dsp:spPr>
        <a:xfrm rot="21584285">
          <a:off x="1336593" y="1226447"/>
          <a:ext cx="246547" cy="297858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1">
                <a:tint val="60000"/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tint val="60000"/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tint val="60000"/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1336593" y="1286188"/>
        <a:ext cx="172583" cy="178714"/>
      </dsp:txXfrm>
    </dsp:sp>
    <dsp:sp modelId="{B335636B-C930-4FCB-9BCD-A88544BA49C5}">
      <dsp:nvSpPr>
        <dsp:cNvPr id="0" name=""/>
        <dsp:cNvSpPr/>
      </dsp:nvSpPr>
      <dsp:spPr>
        <a:xfrm>
          <a:off x="1685478" y="1011287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Century</a:t>
          </a:r>
        </a:p>
      </dsp:txBody>
      <dsp:txXfrm>
        <a:off x="1706584" y="1032393"/>
        <a:ext cx="1158830" cy="678413"/>
      </dsp:txXfrm>
    </dsp:sp>
    <dsp:sp modelId="{3511321E-B098-475F-B68B-16FA1C9B3A54}">
      <dsp:nvSpPr>
        <dsp:cNvPr id="0" name=""/>
        <dsp:cNvSpPr/>
      </dsp:nvSpPr>
      <dsp:spPr>
        <a:xfrm>
          <a:off x="3006625" y="1222670"/>
          <a:ext cx="254621" cy="297858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1">
                <a:tint val="60000"/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tint val="60000"/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tint val="60000"/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3006625" y="1282242"/>
        <a:ext cx="178235" cy="178714"/>
      </dsp:txXfrm>
    </dsp:sp>
    <dsp:sp modelId="{A7C19949-958A-4D8B-AAE1-0D7928428F91}">
      <dsp:nvSpPr>
        <dsp:cNvPr id="0" name=""/>
        <dsp:cNvSpPr/>
      </dsp:nvSpPr>
      <dsp:spPr>
        <a:xfrm>
          <a:off x="3366938" y="1011287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Decade</a:t>
          </a:r>
        </a:p>
      </dsp:txBody>
      <dsp:txXfrm>
        <a:off x="3388044" y="1032393"/>
        <a:ext cx="1158830" cy="67841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ales_Analysis!A1"/><Relationship Id="rId2" Type="http://schemas.openxmlformats.org/officeDocument/2006/relationships/hyperlink" Target="#Sales_Dashboard!A1"/><Relationship Id="rId1" Type="http://schemas.openxmlformats.org/officeDocument/2006/relationships/hyperlink" Target="#Student_Grades!A1"/><Relationship Id="rId5" Type="http://schemas.openxmlformats.org/officeDocument/2006/relationships/hyperlink" Target="#Budget_Analysis!A1"/><Relationship Id="rId4" Type="http://schemas.openxmlformats.org/officeDocument/2006/relationships/hyperlink" Target="#Project_Tracke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17</xdr:row>
      <xdr:rowOff>179070</xdr:rowOff>
    </xdr:from>
    <xdr:to>
      <xdr:col>4</xdr:col>
      <xdr:colOff>582930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104F0-D732-325B-D770-9D4898E97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0</xdr:row>
      <xdr:rowOff>0</xdr:rowOff>
    </xdr:from>
    <xdr:to>
      <xdr:col>15</xdr:col>
      <xdr:colOff>586740</xdr:colOff>
      <xdr:row>15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0AC8E62-0C7C-D1E1-95B2-ED1E26AA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0</xdr:rowOff>
    </xdr:from>
    <xdr:to>
      <xdr:col>2</xdr:col>
      <xdr:colOff>601980</xdr:colOff>
      <xdr:row>4</xdr:row>
      <xdr:rowOff>7620</xdr:rowOff>
    </xdr:to>
    <xdr:sp macro="" textlink="">
      <xdr:nvSpPr>
        <xdr:cNvPr id="2" name="Flowchart: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D2866D-BDF6-D95A-797D-53769832C187}"/>
            </a:ext>
          </a:extLst>
        </xdr:cNvPr>
        <xdr:cNvSpPr/>
      </xdr:nvSpPr>
      <xdr:spPr>
        <a:xfrm>
          <a:off x="624840" y="662940"/>
          <a:ext cx="1196340" cy="190500"/>
        </a:xfrm>
        <a:prstGeom prst="flowChartProcess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isometricOffAxis1Righ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Student Grades</a:t>
          </a:r>
          <a:endParaRPr lang="en-US" sz="1100" b="1"/>
        </a:p>
      </xdr:txBody>
    </xdr:sp>
    <xdr:clientData/>
  </xdr:twoCellAnchor>
  <xdr:twoCellAnchor>
    <xdr:from>
      <xdr:col>1</xdr:col>
      <xdr:colOff>91440</xdr:colOff>
      <xdr:row>5</xdr:row>
      <xdr:rowOff>0</xdr:rowOff>
    </xdr:from>
    <xdr:to>
      <xdr:col>3</xdr:col>
      <xdr:colOff>68580</xdr:colOff>
      <xdr:row>6</xdr:row>
      <xdr:rowOff>7620</xdr:rowOff>
    </xdr:to>
    <xdr:sp macro="" textlink="">
      <xdr:nvSpPr>
        <xdr:cNvPr id="4" name="Flowchart: Proces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23F2A7-5BCB-4F69-A1A4-6888F14A97EF}"/>
            </a:ext>
          </a:extLst>
        </xdr:cNvPr>
        <xdr:cNvSpPr/>
      </xdr:nvSpPr>
      <xdr:spPr>
        <a:xfrm>
          <a:off x="701040" y="1028700"/>
          <a:ext cx="1196340" cy="190500"/>
        </a:xfrm>
        <a:prstGeom prst="flowChartProcess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isometricOffAxis1Righ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Student Grades</a:t>
          </a:r>
          <a:endParaRPr lang="en-US" sz="1100" b="1"/>
        </a:p>
      </xdr:txBody>
    </xdr:sp>
    <xdr:clientData/>
  </xdr:twoCellAnchor>
  <xdr:twoCellAnchor>
    <xdr:from>
      <xdr:col>1</xdr:col>
      <xdr:colOff>91440</xdr:colOff>
      <xdr:row>6</xdr:row>
      <xdr:rowOff>175260</xdr:rowOff>
    </xdr:from>
    <xdr:to>
      <xdr:col>3</xdr:col>
      <xdr:colOff>68580</xdr:colOff>
      <xdr:row>8</xdr:row>
      <xdr:rowOff>0</xdr:rowOff>
    </xdr:to>
    <xdr:sp macro="" textlink="">
      <xdr:nvSpPr>
        <xdr:cNvPr id="5" name="Flowchart: Proces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6EA8D4-EA4E-4742-B0DF-9CA3C0E48DF0}"/>
            </a:ext>
          </a:extLst>
        </xdr:cNvPr>
        <xdr:cNvSpPr/>
      </xdr:nvSpPr>
      <xdr:spPr>
        <a:xfrm>
          <a:off x="701040" y="1386840"/>
          <a:ext cx="1196340" cy="190500"/>
        </a:xfrm>
        <a:prstGeom prst="flowChartProcess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isometricOffAxis1Righ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</a:t>
          </a:r>
          <a:endParaRPr lang="en-US" sz="1100" b="1"/>
        </a:p>
      </xdr:txBody>
    </xdr:sp>
    <xdr:clientData/>
  </xdr:twoCellAnchor>
  <xdr:twoCellAnchor>
    <xdr:from>
      <xdr:col>1</xdr:col>
      <xdr:colOff>129540</xdr:colOff>
      <xdr:row>8</xdr:row>
      <xdr:rowOff>137160</xdr:rowOff>
    </xdr:from>
    <xdr:to>
      <xdr:col>3</xdr:col>
      <xdr:colOff>106680</xdr:colOff>
      <xdr:row>9</xdr:row>
      <xdr:rowOff>144780</xdr:rowOff>
    </xdr:to>
    <xdr:sp macro="" textlink="">
      <xdr:nvSpPr>
        <xdr:cNvPr id="9" name="Flowchart: Proces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743797-8491-49D5-8533-42E62BE249FC}"/>
            </a:ext>
          </a:extLst>
        </xdr:cNvPr>
        <xdr:cNvSpPr/>
      </xdr:nvSpPr>
      <xdr:spPr>
        <a:xfrm>
          <a:off x="739140" y="1714500"/>
          <a:ext cx="1196340" cy="190500"/>
        </a:xfrm>
        <a:prstGeom prst="flowChartProcess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isometricOffAxis1Righ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Project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Tracker</a:t>
          </a:r>
          <a:endParaRPr lang="en-US" sz="1100" b="1"/>
        </a:p>
      </xdr:txBody>
    </xdr:sp>
    <xdr:clientData/>
  </xdr:twoCellAnchor>
  <xdr:twoCellAnchor>
    <xdr:from>
      <xdr:col>1</xdr:col>
      <xdr:colOff>198120</xdr:colOff>
      <xdr:row>10</xdr:row>
      <xdr:rowOff>99060</xdr:rowOff>
    </xdr:from>
    <xdr:to>
      <xdr:col>3</xdr:col>
      <xdr:colOff>175260</xdr:colOff>
      <xdr:row>11</xdr:row>
      <xdr:rowOff>106680</xdr:rowOff>
    </xdr:to>
    <xdr:sp macro="" textlink="">
      <xdr:nvSpPr>
        <xdr:cNvPr id="10" name="Flowchart: Proces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327DA1-7468-4AEC-BF1E-CCECE3017F9E}"/>
            </a:ext>
          </a:extLst>
        </xdr:cNvPr>
        <xdr:cNvSpPr/>
      </xdr:nvSpPr>
      <xdr:spPr>
        <a:xfrm>
          <a:off x="807720" y="2042160"/>
          <a:ext cx="1196340" cy="190500"/>
        </a:xfrm>
        <a:prstGeom prst="flowChartProcess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isometricOffAxis1Righ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Budget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</a:t>
          </a:r>
          <a:endParaRPr 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TUYISHIMIRE" refreshedDate="46060.78766238426" createdVersion="8" refreshedVersion="8" minRefreshableVersion="3" recordCount="12" xr:uid="{D915FEB0-A723-4FDC-B557-9844B86573E2}">
  <cacheSource type="worksheet">
    <worksheetSource ref="A1:E13" sheet="Sales_Dashboard"/>
  </cacheSource>
  <cacheFields count="5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A" numFmtId="3">
      <sharedItems containsSemiMixedTypes="0" containsString="0" containsNumber="1" containsInteger="1" minValue="12500" maxValue="17500"/>
    </cacheField>
    <cacheField name="Product B" numFmtId="3">
      <sharedItems containsSemiMixedTypes="0" containsString="0" containsNumber="1" containsInteger="1" minValue="9200" maxValue="13000"/>
    </cacheField>
    <cacheField name="Product C" numFmtId="3">
      <sharedItems containsSemiMixedTypes="0" containsString="0" containsNumber="1" containsInteger="1" minValue="11200" maxValue="16000"/>
    </cacheField>
    <cacheField name="Total" numFmtId="3">
      <sharedItems containsSemiMixedTypes="0" containsString="0" containsNumber="1" containsInteger="1" minValue="33500" maxValue="46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2500"/>
    <n v="9800"/>
    <n v="11200"/>
    <n v="33500"/>
  </r>
  <r>
    <x v="1"/>
    <n v="13200"/>
    <n v="10500"/>
    <n v="11800"/>
    <n v="35500"/>
  </r>
  <r>
    <x v="2"/>
    <n v="14100"/>
    <n v="9200"/>
    <n v="12500"/>
    <n v="35800"/>
  </r>
  <r>
    <x v="3"/>
    <n v="13800"/>
    <n v="10000"/>
    <n v="12200"/>
    <n v="36000"/>
  </r>
  <r>
    <x v="4"/>
    <n v="14500"/>
    <n v="10800"/>
    <n v="12900"/>
    <n v="38200"/>
  </r>
  <r>
    <x v="5"/>
    <n v="15000"/>
    <n v="11200"/>
    <n v="13500"/>
    <n v="39700"/>
  </r>
  <r>
    <x v="6"/>
    <n v="15300"/>
    <n v="11500"/>
    <n v="13800"/>
    <n v="40600"/>
  </r>
  <r>
    <x v="7"/>
    <n v="14900"/>
    <n v="11000"/>
    <n v="13400"/>
    <n v="39300"/>
  </r>
  <r>
    <x v="8"/>
    <n v="15600"/>
    <n v="11700"/>
    <n v="14100"/>
    <n v="41400"/>
  </r>
  <r>
    <x v="9"/>
    <n v="16200"/>
    <n v="12100"/>
    <n v="14800"/>
    <n v="43100"/>
  </r>
  <r>
    <x v="10"/>
    <n v="16800"/>
    <n v="12500"/>
    <n v="15200"/>
    <n v="44500"/>
  </r>
  <r>
    <x v="11"/>
    <n v="17500"/>
    <n v="13000"/>
    <n v="16000"/>
    <n v="46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83DF6-1E64-4A27-8C5E-51C1D37B2A9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3" showAll="0"/>
    <pivotField numFmtId="3" showAll="0"/>
    <pivotField numFmtId="3" showAll="0"/>
    <pivotField dataField="1" numFmtId="3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48E6B-292F-470B-9A8E-C07AE49354D3}" name="Table1" displayName="Table1" ref="A1:H13" totalsRowShown="0" headerRowDxfId="3">
  <autoFilter ref="A1:H13" xr:uid="{E4548E6B-292F-470B-9A8E-C07AE49354D3}"/>
  <tableColumns count="8">
    <tableColumn id="1" xr3:uid="{763E3A33-42AF-4F2E-89B1-620A05CFC1DF}" name="Student ID" dataDxfId="11"/>
    <tableColumn id="2" xr3:uid="{102F8DEF-6F9D-4CE5-99A4-2B4F722D8D7C}" name="Student name" dataDxfId="10"/>
    <tableColumn id="3" xr3:uid="{519E4104-AF59-471B-851F-DB49CABC4D3C}" name="Math" dataDxfId="9"/>
    <tableColumn id="4" xr3:uid="{040912E5-F710-4508-8322-DADD7C923A2C}" name="Science" dataDxfId="8"/>
    <tableColumn id="5" xr3:uid="{F9D55018-DFD0-4CE6-BA4E-A061954991AA}" name="English" dataDxfId="7"/>
    <tableColumn id="6" xr3:uid="{D431EC27-0C78-4276-B568-ABCDECDAD18B}" name="Total" dataDxfId="6">
      <calculatedColumnFormula>SUM(C2:E2)</calculatedColumnFormula>
    </tableColumn>
    <tableColumn id="7" xr3:uid="{3648AF58-41B7-41B9-8985-BC965B2904B6}" name="Average" dataDxfId="5">
      <calculatedColumnFormula>AVERAGE(C2:E2)</calculatedColumnFormula>
    </tableColumn>
    <tableColumn id="8" xr3:uid="{4AC4BEA1-274B-4184-A953-D492AD81D22C}" name="Grade" dataDxfId="4">
      <calculatedColumnFormula>IF(G2&gt;=90,"A",IF(G2&gt;=80,"B",IF(G2&gt;=70,"C",IF(G2&gt;=60,"D","F"))))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B61C-5327-4A3F-9162-65661F0571B5}">
  <dimension ref="A1:H15"/>
  <sheetViews>
    <sheetView workbookViewId="0"/>
  </sheetViews>
  <sheetFormatPr defaultRowHeight="14.4" x14ac:dyDescent="0.3"/>
  <cols>
    <col min="1" max="1" width="11.77734375" customWidth="1"/>
    <col min="2" max="2" width="15.6640625" customWidth="1"/>
    <col min="4" max="4" width="9.21875" customWidth="1"/>
    <col min="7" max="7" width="11.5546875" bestFit="1" customWidth="1"/>
  </cols>
  <sheetData>
    <row r="1" spans="1:8" s="2" customForma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</row>
    <row r="2" spans="1:8" x14ac:dyDescent="0.3">
      <c r="A2" s="4">
        <v>1</v>
      </c>
      <c r="B2" s="4" t="s">
        <v>7</v>
      </c>
      <c r="C2" s="4">
        <v>85</v>
      </c>
      <c r="D2" s="4">
        <v>92</v>
      </c>
      <c r="E2" s="4">
        <v>88</v>
      </c>
      <c r="F2" s="6">
        <f>SUM(C2:E2)</f>
        <v>265</v>
      </c>
      <c r="G2" s="6">
        <f>AVERAGE(C2:E2)</f>
        <v>88.333333333333329</v>
      </c>
      <c r="H2" s="7" t="str">
        <f>IF(G2&gt;=90,"A",IF(G2&gt;=80,"B",IF(G2&gt;=70,"C",IF(G2&gt;=60,"D","F"))))</f>
        <v>B</v>
      </c>
    </row>
    <row r="3" spans="1:8" x14ac:dyDescent="0.3">
      <c r="A3" s="4">
        <v>2</v>
      </c>
      <c r="B3" s="4" t="s">
        <v>8</v>
      </c>
      <c r="C3" s="4">
        <v>92</v>
      </c>
      <c r="D3" s="4">
        <v>95</v>
      </c>
      <c r="E3" s="4">
        <v>90</v>
      </c>
      <c r="F3" s="6">
        <f t="shared" ref="F3:F13" si="0">SUM(C3:E3)</f>
        <v>277</v>
      </c>
      <c r="G3" s="6">
        <f t="shared" ref="G3:G13" si="1">AVERAGE(C3:E3)</f>
        <v>92.333333333333329</v>
      </c>
      <c r="H3" s="7" t="str">
        <f t="shared" ref="H3:H13" si="2">IF(G3&gt;=90,"A",IF(G3&gt;=80,"B",IF(G3&gt;=70,"C",IF(G3&gt;=60,"D","F"))))</f>
        <v>A</v>
      </c>
    </row>
    <row r="4" spans="1:8" x14ac:dyDescent="0.3">
      <c r="A4" s="4">
        <v>3</v>
      </c>
      <c r="B4" s="4" t="s">
        <v>9</v>
      </c>
      <c r="C4" s="4">
        <v>78</v>
      </c>
      <c r="D4" s="4">
        <v>85</v>
      </c>
      <c r="E4" s="4">
        <v>82</v>
      </c>
      <c r="F4" s="6">
        <f t="shared" si="0"/>
        <v>245</v>
      </c>
      <c r="G4" s="6">
        <f t="shared" si="1"/>
        <v>81.666666666666671</v>
      </c>
      <c r="H4" s="7" t="str">
        <f t="shared" si="2"/>
        <v>B</v>
      </c>
    </row>
    <row r="5" spans="1:8" x14ac:dyDescent="0.3">
      <c r="A5" s="4">
        <v>4</v>
      </c>
      <c r="B5" s="4" t="s">
        <v>10</v>
      </c>
      <c r="C5" s="4">
        <v>95</v>
      </c>
      <c r="D5" s="4">
        <v>88</v>
      </c>
      <c r="E5" s="4">
        <v>93</v>
      </c>
      <c r="F5" s="6">
        <f t="shared" si="0"/>
        <v>276</v>
      </c>
      <c r="G5" s="6">
        <f t="shared" si="1"/>
        <v>92</v>
      </c>
      <c r="H5" s="7" t="str">
        <f t="shared" si="2"/>
        <v>A</v>
      </c>
    </row>
    <row r="6" spans="1:8" x14ac:dyDescent="0.3">
      <c r="A6" s="4">
        <v>5</v>
      </c>
      <c r="B6" s="4" t="s">
        <v>11</v>
      </c>
      <c r="C6" s="4">
        <v>81</v>
      </c>
      <c r="D6" s="4">
        <v>79</v>
      </c>
      <c r="E6" s="4">
        <v>84</v>
      </c>
      <c r="F6" s="6">
        <f t="shared" si="0"/>
        <v>244</v>
      </c>
      <c r="G6" s="6">
        <f t="shared" si="1"/>
        <v>81.333333333333329</v>
      </c>
      <c r="H6" s="7" t="str">
        <f t="shared" si="2"/>
        <v>B</v>
      </c>
    </row>
    <row r="7" spans="1:8" x14ac:dyDescent="0.3">
      <c r="A7" s="4">
        <v>6</v>
      </c>
      <c r="B7" s="4" t="s">
        <v>13</v>
      </c>
      <c r="C7" s="4">
        <v>54</v>
      </c>
      <c r="D7" s="4">
        <v>40</v>
      </c>
      <c r="E7" s="4">
        <v>70</v>
      </c>
      <c r="F7" s="6">
        <f t="shared" si="0"/>
        <v>164</v>
      </c>
      <c r="G7" s="6">
        <f t="shared" si="1"/>
        <v>54.666666666666664</v>
      </c>
      <c r="H7" s="7" t="str">
        <f t="shared" si="2"/>
        <v>F</v>
      </c>
    </row>
    <row r="8" spans="1:8" x14ac:dyDescent="0.3">
      <c r="A8" s="4">
        <v>7</v>
      </c>
      <c r="B8" s="4" t="s">
        <v>14</v>
      </c>
      <c r="C8" s="4">
        <v>23</v>
      </c>
      <c r="D8" s="4">
        <v>98</v>
      </c>
      <c r="E8" s="4">
        <v>89</v>
      </c>
      <c r="F8" s="6">
        <f t="shared" si="0"/>
        <v>210</v>
      </c>
      <c r="G8" s="6">
        <f t="shared" si="1"/>
        <v>70</v>
      </c>
      <c r="H8" s="7" t="str">
        <f t="shared" si="2"/>
        <v>C</v>
      </c>
    </row>
    <row r="9" spans="1:8" x14ac:dyDescent="0.3">
      <c r="A9" s="4">
        <v>8</v>
      </c>
      <c r="B9" s="4" t="s">
        <v>15</v>
      </c>
      <c r="C9" s="4">
        <v>49</v>
      </c>
      <c r="D9" s="4">
        <v>60</v>
      </c>
      <c r="E9" s="4">
        <v>80</v>
      </c>
      <c r="F9" s="6">
        <f t="shared" si="0"/>
        <v>189</v>
      </c>
      <c r="G9" s="6">
        <f t="shared" si="1"/>
        <v>63</v>
      </c>
      <c r="H9" s="7" t="str">
        <f t="shared" si="2"/>
        <v>D</v>
      </c>
    </row>
    <row r="10" spans="1:8" x14ac:dyDescent="0.3">
      <c r="A10" s="4">
        <v>9</v>
      </c>
      <c r="B10" s="4" t="s">
        <v>16</v>
      </c>
      <c r="C10" s="4">
        <v>70</v>
      </c>
      <c r="D10" s="4">
        <v>97</v>
      </c>
      <c r="E10" s="4">
        <v>50</v>
      </c>
      <c r="F10" s="6">
        <f t="shared" si="0"/>
        <v>217</v>
      </c>
      <c r="G10" s="6">
        <f t="shared" si="1"/>
        <v>72.333333333333329</v>
      </c>
      <c r="H10" s="7" t="str">
        <f t="shared" si="2"/>
        <v>C</v>
      </c>
    </row>
    <row r="11" spans="1:8" x14ac:dyDescent="0.3">
      <c r="A11" s="4">
        <v>10</v>
      </c>
      <c r="B11" s="4" t="s">
        <v>17</v>
      </c>
      <c r="C11" s="4">
        <v>79</v>
      </c>
      <c r="D11" s="4">
        <v>70</v>
      </c>
      <c r="E11" s="4">
        <v>80</v>
      </c>
      <c r="F11" s="6">
        <f t="shared" si="0"/>
        <v>229</v>
      </c>
      <c r="G11" s="6">
        <f t="shared" si="1"/>
        <v>76.333333333333329</v>
      </c>
      <c r="H11" s="7" t="str">
        <f t="shared" si="2"/>
        <v>C</v>
      </c>
    </row>
    <row r="12" spans="1:8" x14ac:dyDescent="0.3">
      <c r="A12" s="4">
        <v>11</v>
      </c>
      <c r="B12" s="4" t="s">
        <v>18</v>
      </c>
      <c r="C12" s="4">
        <v>99</v>
      </c>
      <c r="D12" s="4">
        <v>89</v>
      </c>
      <c r="E12" s="4">
        <v>93</v>
      </c>
      <c r="F12" s="6">
        <f t="shared" si="0"/>
        <v>281</v>
      </c>
      <c r="G12" s="6">
        <f t="shared" si="1"/>
        <v>93.666666666666671</v>
      </c>
      <c r="H12" s="7" t="str">
        <f t="shared" si="2"/>
        <v>A</v>
      </c>
    </row>
    <row r="13" spans="1:8" x14ac:dyDescent="0.3">
      <c r="A13" s="4">
        <v>12</v>
      </c>
      <c r="B13" s="4" t="s">
        <v>19</v>
      </c>
      <c r="C13" s="4">
        <v>78</v>
      </c>
      <c r="D13" s="4">
        <v>89</v>
      </c>
      <c r="E13" s="4">
        <v>97</v>
      </c>
      <c r="F13" s="6">
        <f t="shared" si="0"/>
        <v>264</v>
      </c>
      <c r="G13" s="6">
        <f t="shared" si="1"/>
        <v>88</v>
      </c>
      <c r="H13" s="7" t="str">
        <f t="shared" si="2"/>
        <v>B</v>
      </c>
    </row>
    <row r="14" spans="1:8" x14ac:dyDescent="0.3">
      <c r="A14" s="4"/>
    </row>
    <row r="15" spans="1:8" x14ac:dyDescent="0.3">
      <c r="A15" s="4"/>
    </row>
  </sheetData>
  <conditionalFormatting sqref="G2:G1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{C4334C22-C42A-447B-9C68-D603AA26C95D}</x14:id>
        </ext>
      </extLst>
    </cfRule>
  </conditionalFormatting>
  <conditionalFormatting sqref="H2:H13">
    <cfRule type="containsText" dxfId="2" priority="1" operator="containsText" text="A">
      <formula>NOT(ISERROR(SEARCH("A",H2)))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334C22-C42A-447B-9C68-D603AA26C9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DFAD-C6C7-475E-BBB6-5B86A4DBA338}">
  <dimension ref="A1:E17"/>
  <sheetViews>
    <sheetView topLeftCell="A13" workbookViewId="0">
      <selection activeCell="D16" sqref="D16"/>
    </sheetView>
  </sheetViews>
  <sheetFormatPr defaultRowHeight="14.4" x14ac:dyDescent="0.3"/>
  <cols>
    <col min="1" max="1" width="16.33203125" bestFit="1" customWidth="1"/>
    <col min="2" max="2" width="16" customWidth="1"/>
    <col min="3" max="3" width="13.6640625" customWidth="1"/>
    <col min="4" max="4" width="15.6640625" customWidth="1"/>
    <col min="5" max="5" width="11.6640625" customWidth="1"/>
  </cols>
  <sheetData>
    <row r="1" spans="1:5" x14ac:dyDescent="0.3">
      <c r="A1" s="9" t="s">
        <v>20</v>
      </c>
      <c r="B1" s="9" t="s">
        <v>21</v>
      </c>
      <c r="C1" s="9" t="s">
        <v>22</v>
      </c>
      <c r="D1" s="9" t="s">
        <v>23</v>
      </c>
      <c r="E1" s="9" t="s">
        <v>4</v>
      </c>
    </row>
    <row r="2" spans="1:5" x14ac:dyDescent="0.3">
      <c r="A2" s="10" t="s">
        <v>24</v>
      </c>
      <c r="B2" s="11">
        <v>12500</v>
      </c>
      <c r="C2" s="11">
        <v>9800</v>
      </c>
      <c r="D2" s="11">
        <v>11200</v>
      </c>
      <c r="E2" s="11">
        <f>SUM(B2:D2)</f>
        <v>33500</v>
      </c>
    </row>
    <row r="3" spans="1:5" x14ac:dyDescent="0.3">
      <c r="A3" s="10" t="s">
        <v>25</v>
      </c>
      <c r="B3" s="11">
        <v>13200</v>
      </c>
      <c r="C3" s="11">
        <v>10500</v>
      </c>
      <c r="D3" s="11">
        <v>11800</v>
      </c>
      <c r="E3" s="11">
        <f t="shared" ref="E3:E13" si="0">SUM(B3:D3)</f>
        <v>35500</v>
      </c>
    </row>
    <row r="4" spans="1:5" x14ac:dyDescent="0.3">
      <c r="A4" s="10" t="s">
        <v>26</v>
      </c>
      <c r="B4" s="11">
        <v>14100</v>
      </c>
      <c r="C4" s="11">
        <v>9200</v>
      </c>
      <c r="D4" s="11">
        <v>12500</v>
      </c>
      <c r="E4" s="11">
        <f t="shared" si="0"/>
        <v>35800</v>
      </c>
    </row>
    <row r="5" spans="1:5" x14ac:dyDescent="0.3">
      <c r="A5" s="10" t="s">
        <v>27</v>
      </c>
      <c r="B5" s="11">
        <v>13800</v>
      </c>
      <c r="C5" s="11">
        <v>10000</v>
      </c>
      <c r="D5" s="11">
        <v>12200</v>
      </c>
      <c r="E5" s="11">
        <f t="shared" si="0"/>
        <v>36000</v>
      </c>
    </row>
    <row r="6" spans="1:5" x14ac:dyDescent="0.3">
      <c r="A6" s="10" t="s">
        <v>28</v>
      </c>
      <c r="B6" s="11">
        <v>14500</v>
      </c>
      <c r="C6" s="11">
        <v>10800</v>
      </c>
      <c r="D6" s="11">
        <v>12900</v>
      </c>
      <c r="E6" s="11">
        <f t="shared" si="0"/>
        <v>38200</v>
      </c>
    </row>
    <row r="7" spans="1:5" x14ac:dyDescent="0.3">
      <c r="A7" s="10" t="s">
        <v>29</v>
      </c>
      <c r="B7" s="11">
        <v>15000</v>
      </c>
      <c r="C7" s="11">
        <v>11200</v>
      </c>
      <c r="D7" s="11">
        <v>13500</v>
      </c>
      <c r="E7" s="11">
        <f t="shared" si="0"/>
        <v>39700</v>
      </c>
    </row>
    <row r="8" spans="1:5" x14ac:dyDescent="0.3">
      <c r="A8" s="10" t="s">
        <v>30</v>
      </c>
      <c r="B8" s="11">
        <v>15300</v>
      </c>
      <c r="C8" s="11">
        <v>11500</v>
      </c>
      <c r="D8" s="11">
        <v>13800</v>
      </c>
      <c r="E8" s="11">
        <f t="shared" si="0"/>
        <v>40600</v>
      </c>
    </row>
    <row r="9" spans="1:5" x14ac:dyDescent="0.3">
      <c r="A9" s="10" t="s">
        <v>31</v>
      </c>
      <c r="B9" s="11">
        <v>14900</v>
      </c>
      <c r="C9" s="11">
        <v>11000</v>
      </c>
      <c r="D9" s="11">
        <v>13400</v>
      </c>
      <c r="E9" s="11">
        <f t="shared" si="0"/>
        <v>39300</v>
      </c>
    </row>
    <row r="10" spans="1:5" x14ac:dyDescent="0.3">
      <c r="A10" s="10" t="s">
        <v>32</v>
      </c>
      <c r="B10" s="11">
        <v>15600</v>
      </c>
      <c r="C10" s="11">
        <v>11700</v>
      </c>
      <c r="D10" s="11">
        <v>14100</v>
      </c>
      <c r="E10" s="11">
        <f t="shared" si="0"/>
        <v>41400</v>
      </c>
    </row>
    <row r="11" spans="1:5" x14ac:dyDescent="0.3">
      <c r="A11" s="10" t="s">
        <v>33</v>
      </c>
      <c r="B11" s="11">
        <v>16200</v>
      </c>
      <c r="C11" s="11">
        <v>12100</v>
      </c>
      <c r="D11" s="11">
        <v>14800</v>
      </c>
      <c r="E11" s="11">
        <f t="shared" si="0"/>
        <v>43100</v>
      </c>
    </row>
    <row r="12" spans="1:5" x14ac:dyDescent="0.3">
      <c r="A12" s="10" t="s">
        <v>34</v>
      </c>
      <c r="B12" s="11">
        <v>16800</v>
      </c>
      <c r="C12" s="11">
        <v>12500</v>
      </c>
      <c r="D12" s="11">
        <v>15200</v>
      </c>
      <c r="E12" s="11">
        <f t="shared" si="0"/>
        <v>44500</v>
      </c>
    </row>
    <row r="13" spans="1:5" x14ac:dyDescent="0.3">
      <c r="A13" s="10" t="s">
        <v>35</v>
      </c>
      <c r="B13" s="11">
        <v>17500</v>
      </c>
      <c r="C13" s="11">
        <v>13000</v>
      </c>
      <c r="D13" s="11">
        <v>16000</v>
      </c>
      <c r="E13" s="11">
        <f t="shared" si="0"/>
        <v>46500</v>
      </c>
    </row>
    <row r="15" spans="1:5" x14ac:dyDescent="0.3">
      <c r="A15" s="3" t="s">
        <v>36</v>
      </c>
      <c r="B15" s="14">
        <f>AVERAGE(E2:E13)</f>
        <v>39508.333333333336</v>
      </c>
    </row>
    <row r="16" spans="1:5" x14ac:dyDescent="0.3">
      <c r="A16" s="3" t="s">
        <v>37</v>
      </c>
      <c r="B16" s="3" t="str">
        <f>INDEX(A2:A13,MATCH(MAX(E2:E13),E2:E13,0))</f>
        <v>Dec</v>
      </c>
    </row>
    <row r="17" spans="1:2" x14ac:dyDescent="0.3">
      <c r="A17" s="3" t="s">
        <v>38</v>
      </c>
      <c r="B17" s="14">
        <f>SUM(E2:E13)</f>
        <v>474100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B617-22B5-446E-A7DA-39F469CE1B01}">
  <dimension ref="A3:B16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2" t="s">
        <v>39</v>
      </c>
      <c r="B3" t="s">
        <v>41</v>
      </c>
    </row>
    <row r="4" spans="1:2" x14ac:dyDescent="0.3">
      <c r="A4" s="13" t="s">
        <v>24</v>
      </c>
      <c r="B4" s="8">
        <v>33500</v>
      </c>
    </row>
    <row r="5" spans="1:2" x14ac:dyDescent="0.3">
      <c r="A5" s="13" t="s">
        <v>25</v>
      </c>
      <c r="B5" s="8">
        <v>35500</v>
      </c>
    </row>
    <row r="6" spans="1:2" x14ac:dyDescent="0.3">
      <c r="A6" s="13" t="s">
        <v>26</v>
      </c>
      <c r="B6" s="8">
        <v>35800</v>
      </c>
    </row>
    <row r="7" spans="1:2" x14ac:dyDescent="0.3">
      <c r="A7" s="13" t="s">
        <v>27</v>
      </c>
      <c r="B7" s="8">
        <v>36000</v>
      </c>
    </row>
    <row r="8" spans="1:2" x14ac:dyDescent="0.3">
      <c r="A8" s="13" t="s">
        <v>28</v>
      </c>
      <c r="B8" s="8">
        <v>38200</v>
      </c>
    </row>
    <row r="9" spans="1:2" x14ac:dyDescent="0.3">
      <c r="A9" s="13" t="s">
        <v>29</v>
      </c>
      <c r="B9" s="8">
        <v>39700</v>
      </c>
    </row>
    <row r="10" spans="1:2" x14ac:dyDescent="0.3">
      <c r="A10" s="13" t="s">
        <v>30</v>
      </c>
      <c r="B10" s="8">
        <v>40600</v>
      </c>
    </row>
    <row r="11" spans="1:2" x14ac:dyDescent="0.3">
      <c r="A11" s="13" t="s">
        <v>31</v>
      </c>
      <c r="B11" s="8">
        <v>39300</v>
      </c>
    </row>
    <row r="12" spans="1:2" x14ac:dyDescent="0.3">
      <c r="A12" s="13" t="s">
        <v>32</v>
      </c>
      <c r="B12" s="8">
        <v>41400</v>
      </c>
    </row>
    <row r="13" spans="1:2" x14ac:dyDescent="0.3">
      <c r="A13" s="13" t="s">
        <v>33</v>
      </c>
      <c r="B13" s="8">
        <v>43100</v>
      </c>
    </row>
    <row r="14" spans="1:2" x14ac:dyDescent="0.3">
      <c r="A14" s="13" t="s">
        <v>34</v>
      </c>
      <c r="B14" s="8">
        <v>44500</v>
      </c>
    </row>
    <row r="15" spans="1:2" x14ac:dyDescent="0.3">
      <c r="A15" s="13" t="s">
        <v>35</v>
      </c>
      <c r="B15" s="8">
        <v>46500</v>
      </c>
    </row>
    <row r="16" spans="1:2" x14ac:dyDescent="0.3">
      <c r="A16" s="13" t="s">
        <v>40</v>
      </c>
      <c r="B16" s="8">
        <v>474100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D4D9-AEAD-4327-99F1-6D36BA021BE7}">
  <dimension ref="A1:H51"/>
  <sheetViews>
    <sheetView workbookViewId="0">
      <selection activeCell="K21" sqref="K21"/>
    </sheetView>
  </sheetViews>
  <sheetFormatPr defaultRowHeight="14.4" x14ac:dyDescent="0.3"/>
  <cols>
    <col min="1" max="1" width="7" bestFit="1" customWidth="1"/>
    <col min="2" max="2" width="24.88671875" bestFit="1" customWidth="1"/>
    <col min="3" max="3" width="8.33203125" bestFit="1" customWidth="1"/>
    <col min="4" max="5" width="9.5546875" bestFit="1" customWidth="1"/>
    <col min="6" max="6" width="10.44140625" bestFit="1" customWidth="1"/>
    <col min="7" max="7" width="11" bestFit="1" customWidth="1"/>
    <col min="8" max="8" width="28.88671875" bestFit="1" customWidth="1"/>
  </cols>
  <sheetData>
    <row r="1" spans="1:8" x14ac:dyDescent="0.3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</row>
    <row r="2" spans="1:8" x14ac:dyDescent="0.3">
      <c r="A2" s="10" t="s">
        <v>50</v>
      </c>
      <c r="B2" s="10" t="s">
        <v>51</v>
      </c>
      <c r="C2" s="10" t="s">
        <v>52</v>
      </c>
      <c r="D2" s="15">
        <v>45292</v>
      </c>
      <c r="E2" s="15">
        <v>45306</v>
      </c>
      <c r="F2" s="10" t="s">
        <v>53</v>
      </c>
      <c r="G2" s="16">
        <v>0.5</v>
      </c>
      <c r="H2" s="10" t="s">
        <v>54</v>
      </c>
    </row>
    <row r="3" spans="1:8" x14ac:dyDescent="0.3">
      <c r="A3" s="10" t="s">
        <v>55</v>
      </c>
      <c r="B3" s="10" t="s">
        <v>56</v>
      </c>
      <c r="C3" s="10" t="s">
        <v>57</v>
      </c>
      <c r="D3" s="15">
        <v>45301</v>
      </c>
      <c r="E3" s="15">
        <v>45321</v>
      </c>
      <c r="F3" s="10" t="s">
        <v>53</v>
      </c>
      <c r="G3" s="16">
        <v>0.45</v>
      </c>
      <c r="H3" s="10" t="s">
        <v>58</v>
      </c>
    </row>
    <row r="4" spans="1:8" x14ac:dyDescent="0.3">
      <c r="A4" s="10" t="s">
        <v>59</v>
      </c>
      <c r="B4" s="10" t="s">
        <v>60</v>
      </c>
      <c r="C4" s="10" t="s">
        <v>61</v>
      </c>
      <c r="D4" s="15">
        <v>45311</v>
      </c>
      <c r="E4" s="15">
        <v>45337</v>
      </c>
      <c r="F4" s="10" t="s">
        <v>53</v>
      </c>
      <c r="G4" s="16">
        <v>0.35</v>
      </c>
      <c r="H4" s="10" t="s">
        <v>62</v>
      </c>
    </row>
    <row r="5" spans="1:8" x14ac:dyDescent="0.3">
      <c r="A5" s="10" t="s">
        <v>63</v>
      </c>
      <c r="B5" s="10" t="s">
        <v>64</v>
      </c>
      <c r="C5" s="10" t="s">
        <v>65</v>
      </c>
      <c r="D5" s="15">
        <v>45323</v>
      </c>
      <c r="E5" s="15">
        <v>45342</v>
      </c>
      <c r="F5" s="10" t="s">
        <v>66</v>
      </c>
      <c r="G5" s="16">
        <v>0.2</v>
      </c>
      <c r="H5" s="10" t="s">
        <v>67</v>
      </c>
    </row>
    <row r="6" spans="1:8" x14ac:dyDescent="0.3">
      <c r="A6" s="10" t="s">
        <v>68</v>
      </c>
      <c r="B6" s="10" t="s">
        <v>69</v>
      </c>
      <c r="C6" s="10" t="s">
        <v>52</v>
      </c>
      <c r="D6" s="15">
        <v>45337</v>
      </c>
      <c r="E6" s="15">
        <v>45350</v>
      </c>
      <c r="F6" s="10" t="s">
        <v>66</v>
      </c>
      <c r="G6" s="16">
        <v>0.1</v>
      </c>
      <c r="H6" s="10" t="s">
        <v>70</v>
      </c>
    </row>
    <row r="7" spans="1:8" x14ac:dyDescent="0.3">
      <c r="A7" s="10" t="s">
        <v>71</v>
      </c>
      <c r="B7" s="10" t="s">
        <v>72</v>
      </c>
      <c r="C7" s="10" t="s">
        <v>57</v>
      </c>
      <c r="D7" s="15">
        <v>45296</v>
      </c>
      <c r="E7" s="15">
        <v>45309</v>
      </c>
      <c r="F7" s="10" t="s">
        <v>53</v>
      </c>
      <c r="G7" s="16">
        <v>0.4</v>
      </c>
      <c r="H7" s="10" t="s">
        <v>73</v>
      </c>
    </row>
    <row r="8" spans="1:8" x14ac:dyDescent="0.3">
      <c r="A8" s="10" t="s">
        <v>74</v>
      </c>
      <c r="B8" s="10" t="s">
        <v>75</v>
      </c>
      <c r="C8" s="10" t="s">
        <v>61</v>
      </c>
      <c r="D8" s="15">
        <v>45303</v>
      </c>
      <c r="E8" s="15">
        <v>45316</v>
      </c>
      <c r="F8" s="10" t="s">
        <v>53</v>
      </c>
      <c r="G8" s="16">
        <v>0.45</v>
      </c>
      <c r="H8" s="10" t="s">
        <v>76</v>
      </c>
    </row>
    <row r="9" spans="1:8" x14ac:dyDescent="0.3">
      <c r="A9" s="10" t="s">
        <v>77</v>
      </c>
      <c r="B9" s="10" t="s">
        <v>78</v>
      </c>
      <c r="C9" s="10" t="s">
        <v>65</v>
      </c>
      <c r="D9" s="15">
        <v>45306</v>
      </c>
      <c r="E9" s="15">
        <v>45319</v>
      </c>
      <c r="F9" s="10" t="s">
        <v>53</v>
      </c>
      <c r="G9" s="16">
        <v>0.3</v>
      </c>
      <c r="H9" s="10" t="s">
        <v>79</v>
      </c>
    </row>
    <row r="10" spans="1:8" x14ac:dyDescent="0.3">
      <c r="A10" s="10" t="s">
        <v>80</v>
      </c>
      <c r="B10" s="10" t="s">
        <v>81</v>
      </c>
      <c r="C10" s="10" t="s">
        <v>52</v>
      </c>
      <c r="D10" s="15">
        <v>45309</v>
      </c>
      <c r="E10" s="15">
        <v>45322</v>
      </c>
      <c r="F10" s="10" t="s">
        <v>53</v>
      </c>
      <c r="G10" s="16">
        <v>0.35</v>
      </c>
      <c r="H10" s="10" t="s">
        <v>82</v>
      </c>
    </row>
    <row r="11" spans="1:8" x14ac:dyDescent="0.3">
      <c r="A11" s="10" t="s">
        <v>83</v>
      </c>
      <c r="B11" s="10" t="s">
        <v>84</v>
      </c>
      <c r="C11" s="10" t="s">
        <v>57</v>
      </c>
      <c r="D11" s="15">
        <v>45311</v>
      </c>
      <c r="E11" s="15">
        <v>45324</v>
      </c>
      <c r="F11" s="10" t="s">
        <v>53</v>
      </c>
      <c r="G11" s="16">
        <v>0.5</v>
      </c>
      <c r="H11" s="10" t="s">
        <v>85</v>
      </c>
    </row>
    <row r="12" spans="1:8" x14ac:dyDescent="0.3">
      <c r="A12" s="10" t="s">
        <v>86</v>
      </c>
      <c r="B12" s="10" t="s">
        <v>87</v>
      </c>
      <c r="C12" s="10" t="s">
        <v>61</v>
      </c>
      <c r="D12" s="15">
        <v>45316</v>
      </c>
      <c r="E12" s="15">
        <v>45332</v>
      </c>
      <c r="F12" s="10" t="s">
        <v>53</v>
      </c>
      <c r="G12" s="16">
        <v>0.4</v>
      </c>
      <c r="H12" s="10" t="s">
        <v>88</v>
      </c>
    </row>
    <row r="13" spans="1:8" x14ac:dyDescent="0.3">
      <c r="A13" s="10" t="s">
        <v>89</v>
      </c>
      <c r="B13" s="10" t="s">
        <v>90</v>
      </c>
      <c r="C13" s="10" t="s">
        <v>65</v>
      </c>
      <c r="D13" s="15">
        <v>45323</v>
      </c>
      <c r="E13" s="15">
        <v>45334</v>
      </c>
      <c r="F13" s="10" t="s">
        <v>53</v>
      </c>
      <c r="G13" s="16">
        <v>0.3</v>
      </c>
      <c r="H13" s="10" t="s">
        <v>91</v>
      </c>
    </row>
    <row r="14" spans="1:8" x14ac:dyDescent="0.3">
      <c r="A14" s="10" t="s">
        <v>92</v>
      </c>
      <c r="B14" s="10" t="s">
        <v>93</v>
      </c>
      <c r="C14" s="10" t="s">
        <v>52</v>
      </c>
      <c r="D14" s="15">
        <v>45325</v>
      </c>
      <c r="E14" s="15">
        <v>45327</v>
      </c>
      <c r="F14" s="10" t="s">
        <v>94</v>
      </c>
      <c r="G14" s="16">
        <v>0.5</v>
      </c>
      <c r="H14" s="10" t="s">
        <v>95</v>
      </c>
    </row>
    <row r="15" spans="1:8" x14ac:dyDescent="0.3">
      <c r="A15" s="10" t="s">
        <v>96</v>
      </c>
      <c r="B15" s="10" t="s">
        <v>97</v>
      </c>
      <c r="C15" s="10" t="s">
        <v>57</v>
      </c>
      <c r="D15" s="15">
        <v>45327</v>
      </c>
      <c r="E15" s="15">
        <v>45340</v>
      </c>
      <c r="F15" s="10" t="s">
        <v>53</v>
      </c>
      <c r="G15" s="16">
        <v>0.45</v>
      </c>
      <c r="H15" s="10" t="s">
        <v>98</v>
      </c>
    </row>
    <row r="16" spans="1:8" x14ac:dyDescent="0.3">
      <c r="A16" s="10" t="s">
        <v>99</v>
      </c>
      <c r="B16" s="10" t="s">
        <v>100</v>
      </c>
      <c r="C16" s="10" t="s">
        <v>61</v>
      </c>
      <c r="D16" s="15">
        <v>45329</v>
      </c>
      <c r="E16" s="15">
        <v>45342</v>
      </c>
      <c r="F16" s="10" t="s">
        <v>53</v>
      </c>
      <c r="G16" s="16">
        <v>0.35</v>
      </c>
      <c r="H16" s="10" t="s">
        <v>101</v>
      </c>
    </row>
    <row r="17" spans="1:8" x14ac:dyDescent="0.3">
      <c r="A17" s="10" t="s">
        <v>102</v>
      </c>
      <c r="B17" s="10" t="s">
        <v>103</v>
      </c>
      <c r="C17" s="10" t="s">
        <v>65</v>
      </c>
      <c r="D17" s="15">
        <v>45330</v>
      </c>
      <c r="E17" s="15">
        <v>45344</v>
      </c>
      <c r="F17" s="10" t="s">
        <v>53</v>
      </c>
      <c r="G17" s="16">
        <v>0.3</v>
      </c>
      <c r="H17" s="10" t="s">
        <v>104</v>
      </c>
    </row>
    <row r="18" spans="1:8" x14ac:dyDescent="0.3">
      <c r="A18" s="10" t="s">
        <v>105</v>
      </c>
      <c r="B18" s="10" t="s">
        <v>106</v>
      </c>
      <c r="C18" s="10" t="s">
        <v>52</v>
      </c>
      <c r="D18" s="15">
        <v>45332</v>
      </c>
      <c r="E18" s="15">
        <v>45347</v>
      </c>
      <c r="F18" s="10" t="s">
        <v>66</v>
      </c>
      <c r="G18" s="16">
        <v>0.15</v>
      </c>
      <c r="H18" s="10" t="s">
        <v>107</v>
      </c>
    </row>
    <row r="19" spans="1:8" x14ac:dyDescent="0.3">
      <c r="A19" s="10" t="s">
        <v>108</v>
      </c>
      <c r="B19" s="10" t="s">
        <v>109</v>
      </c>
      <c r="C19" s="10" t="s">
        <v>57</v>
      </c>
      <c r="D19" s="15">
        <v>45334</v>
      </c>
      <c r="E19" s="15">
        <v>45350</v>
      </c>
      <c r="F19" s="10" t="s">
        <v>53</v>
      </c>
      <c r="G19" s="16">
        <v>0.25</v>
      </c>
      <c r="H19" s="10" t="s">
        <v>110</v>
      </c>
    </row>
    <row r="20" spans="1:8" x14ac:dyDescent="0.3">
      <c r="A20" s="10" t="s">
        <v>111</v>
      </c>
      <c r="B20" s="10" t="s">
        <v>112</v>
      </c>
      <c r="C20" s="10" t="s">
        <v>61</v>
      </c>
      <c r="D20" s="15">
        <v>45336</v>
      </c>
      <c r="E20" s="15">
        <v>45352</v>
      </c>
      <c r="F20" s="10" t="s">
        <v>66</v>
      </c>
      <c r="G20" s="16">
        <v>0.2</v>
      </c>
      <c r="H20" s="10" t="s">
        <v>113</v>
      </c>
    </row>
    <row r="21" spans="1:8" x14ac:dyDescent="0.3">
      <c r="A21" s="10" t="s">
        <v>114</v>
      </c>
      <c r="B21" s="10" t="s">
        <v>115</v>
      </c>
      <c r="C21" s="10" t="s">
        <v>65</v>
      </c>
      <c r="D21" s="15">
        <v>45337</v>
      </c>
      <c r="E21" s="15">
        <v>45349</v>
      </c>
      <c r="F21" s="10" t="s">
        <v>53</v>
      </c>
      <c r="G21" s="16">
        <v>0.45</v>
      </c>
      <c r="H21" s="10" t="s">
        <v>116</v>
      </c>
    </row>
    <row r="22" spans="1:8" x14ac:dyDescent="0.3">
      <c r="A22" s="10" t="s">
        <v>117</v>
      </c>
      <c r="B22" s="10" t="s">
        <v>118</v>
      </c>
      <c r="C22" s="10" t="s">
        <v>52</v>
      </c>
      <c r="D22" s="15">
        <v>45340</v>
      </c>
      <c r="E22" s="15">
        <v>45354</v>
      </c>
      <c r="F22" s="10" t="s">
        <v>53</v>
      </c>
      <c r="G22" s="16">
        <v>0.3</v>
      </c>
      <c r="H22" s="10" t="s">
        <v>119</v>
      </c>
    </row>
    <row r="23" spans="1:8" x14ac:dyDescent="0.3">
      <c r="A23" s="10" t="s">
        <v>120</v>
      </c>
      <c r="B23" s="10" t="s">
        <v>121</v>
      </c>
      <c r="C23" s="10" t="s">
        <v>57</v>
      </c>
      <c r="D23" s="15">
        <v>45342</v>
      </c>
      <c r="E23" s="15">
        <v>45356</v>
      </c>
      <c r="F23" s="10" t="s">
        <v>53</v>
      </c>
      <c r="G23" s="16">
        <v>0.4</v>
      </c>
      <c r="H23" s="10" t="s">
        <v>122</v>
      </c>
    </row>
    <row r="24" spans="1:8" x14ac:dyDescent="0.3">
      <c r="A24" s="10" t="s">
        <v>123</v>
      </c>
      <c r="B24" s="10" t="s">
        <v>124</v>
      </c>
      <c r="C24" s="10" t="s">
        <v>61</v>
      </c>
      <c r="D24" s="15">
        <v>45344</v>
      </c>
      <c r="E24" s="15">
        <v>45366</v>
      </c>
      <c r="F24" s="10" t="s">
        <v>53</v>
      </c>
      <c r="G24" s="16">
        <v>0.35</v>
      </c>
      <c r="H24" s="10" t="s">
        <v>125</v>
      </c>
    </row>
    <row r="25" spans="1:8" x14ac:dyDescent="0.3">
      <c r="A25" s="10" t="s">
        <v>126</v>
      </c>
      <c r="B25" s="10" t="s">
        <v>127</v>
      </c>
      <c r="C25" s="10" t="s">
        <v>65</v>
      </c>
      <c r="D25" s="15">
        <v>45346</v>
      </c>
      <c r="E25" s="15">
        <v>45369</v>
      </c>
      <c r="F25" s="10" t="s">
        <v>53</v>
      </c>
      <c r="G25" s="16">
        <v>0.3</v>
      </c>
      <c r="H25" s="10" t="s">
        <v>128</v>
      </c>
    </row>
    <row r="26" spans="1:8" x14ac:dyDescent="0.3">
      <c r="A26" s="10" t="s">
        <v>129</v>
      </c>
      <c r="B26" s="10" t="s">
        <v>130</v>
      </c>
      <c r="C26" s="10" t="s">
        <v>52</v>
      </c>
      <c r="D26" s="15">
        <v>45347</v>
      </c>
      <c r="E26" s="15">
        <v>45361</v>
      </c>
      <c r="F26" s="10" t="s">
        <v>53</v>
      </c>
      <c r="G26" s="16">
        <v>0.45</v>
      </c>
      <c r="H26" s="10" t="s">
        <v>131</v>
      </c>
    </row>
    <row r="27" spans="1:8" x14ac:dyDescent="0.3">
      <c r="A27" s="10" t="s">
        <v>132</v>
      </c>
      <c r="B27" s="10" t="s">
        <v>133</v>
      </c>
      <c r="C27" s="10" t="s">
        <v>57</v>
      </c>
      <c r="D27" s="15">
        <v>45349</v>
      </c>
      <c r="E27" s="15">
        <v>45363</v>
      </c>
      <c r="F27" s="10" t="s">
        <v>53</v>
      </c>
      <c r="G27" s="16">
        <v>0.4</v>
      </c>
      <c r="H27" s="10" t="s">
        <v>134</v>
      </c>
    </row>
    <row r="28" spans="1:8" x14ac:dyDescent="0.3">
      <c r="A28" s="10" t="s">
        <v>135</v>
      </c>
      <c r="B28" s="10" t="s">
        <v>136</v>
      </c>
      <c r="C28" s="10" t="s">
        <v>61</v>
      </c>
      <c r="D28" s="15">
        <v>45352</v>
      </c>
      <c r="E28" s="15">
        <v>45366</v>
      </c>
      <c r="F28" s="10" t="s">
        <v>53</v>
      </c>
      <c r="G28" s="16">
        <v>0.35</v>
      </c>
      <c r="H28" s="10" t="s">
        <v>137</v>
      </c>
    </row>
    <row r="29" spans="1:8" x14ac:dyDescent="0.3">
      <c r="A29" s="10" t="s">
        <v>138</v>
      </c>
      <c r="B29" s="10" t="s">
        <v>139</v>
      </c>
      <c r="C29" s="10" t="s">
        <v>65</v>
      </c>
      <c r="D29" s="15">
        <v>45353</v>
      </c>
      <c r="E29" s="15">
        <v>45367</v>
      </c>
      <c r="F29" s="10" t="s">
        <v>66</v>
      </c>
      <c r="G29" s="16">
        <v>0.2</v>
      </c>
      <c r="H29" s="10" t="s">
        <v>140</v>
      </c>
    </row>
    <row r="30" spans="1:8" x14ac:dyDescent="0.3">
      <c r="A30" s="10" t="s">
        <v>141</v>
      </c>
      <c r="B30" s="10" t="s">
        <v>142</v>
      </c>
      <c r="C30" s="10" t="s">
        <v>52</v>
      </c>
      <c r="D30" s="15">
        <v>45355</v>
      </c>
      <c r="E30" s="15">
        <v>45369</v>
      </c>
      <c r="F30" s="10" t="s">
        <v>53</v>
      </c>
      <c r="G30" s="16">
        <v>0.45</v>
      </c>
      <c r="H30" s="10" t="s">
        <v>143</v>
      </c>
    </row>
    <row r="31" spans="1:8" x14ac:dyDescent="0.3">
      <c r="A31" s="10" t="s">
        <v>144</v>
      </c>
      <c r="B31" s="10" t="s">
        <v>145</v>
      </c>
      <c r="C31" s="10" t="s">
        <v>57</v>
      </c>
      <c r="D31" s="15">
        <v>45357</v>
      </c>
      <c r="E31" s="15">
        <v>45371</v>
      </c>
      <c r="F31" s="10" t="s">
        <v>53</v>
      </c>
      <c r="G31" s="16">
        <v>0.3</v>
      </c>
      <c r="H31" s="10" t="s">
        <v>146</v>
      </c>
    </row>
    <row r="32" spans="1:8" x14ac:dyDescent="0.3">
      <c r="A32" s="10" t="s">
        <v>147</v>
      </c>
      <c r="B32" s="10" t="s">
        <v>148</v>
      </c>
      <c r="C32" s="10" t="s">
        <v>61</v>
      </c>
      <c r="D32" s="15">
        <v>45359</v>
      </c>
      <c r="E32" s="15">
        <v>45373</v>
      </c>
      <c r="F32" s="10" t="s">
        <v>66</v>
      </c>
      <c r="G32" s="16">
        <v>0.15</v>
      </c>
      <c r="H32" s="10" t="s">
        <v>149</v>
      </c>
    </row>
    <row r="33" spans="1:8" x14ac:dyDescent="0.3">
      <c r="A33" s="10" t="s">
        <v>150</v>
      </c>
      <c r="B33" s="10" t="s">
        <v>151</v>
      </c>
      <c r="C33" s="10" t="s">
        <v>65</v>
      </c>
      <c r="D33" s="15">
        <v>45361</v>
      </c>
      <c r="E33" s="15">
        <v>45376</v>
      </c>
      <c r="F33" s="10" t="s">
        <v>53</v>
      </c>
      <c r="G33" s="16">
        <v>0.35</v>
      </c>
      <c r="H33" s="10" t="s">
        <v>152</v>
      </c>
    </row>
    <row r="34" spans="1:8" x14ac:dyDescent="0.3">
      <c r="A34" s="10" t="s">
        <v>153</v>
      </c>
      <c r="B34" s="10" t="s">
        <v>154</v>
      </c>
      <c r="C34" s="10" t="s">
        <v>52</v>
      </c>
      <c r="D34" s="15">
        <v>45363</v>
      </c>
      <c r="E34" s="15">
        <v>45379</v>
      </c>
      <c r="F34" s="10" t="s">
        <v>53</v>
      </c>
      <c r="G34" s="16">
        <v>0.25</v>
      </c>
      <c r="H34" s="10" t="s">
        <v>155</v>
      </c>
    </row>
    <row r="35" spans="1:8" x14ac:dyDescent="0.3">
      <c r="A35" s="10" t="s">
        <v>156</v>
      </c>
      <c r="B35" s="10" t="s">
        <v>157</v>
      </c>
      <c r="C35" s="10" t="s">
        <v>57</v>
      </c>
      <c r="D35" s="15">
        <v>45365</v>
      </c>
      <c r="E35" s="15">
        <v>45381</v>
      </c>
      <c r="F35" s="10" t="s">
        <v>66</v>
      </c>
      <c r="G35" s="16">
        <v>0.1</v>
      </c>
      <c r="H35" s="10" t="s">
        <v>158</v>
      </c>
    </row>
    <row r="36" spans="1:8" x14ac:dyDescent="0.3">
      <c r="A36" s="10" t="s">
        <v>159</v>
      </c>
      <c r="B36" s="10" t="s">
        <v>160</v>
      </c>
      <c r="C36" s="10" t="s">
        <v>61</v>
      </c>
      <c r="D36" s="15">
        <v>45367</v>
      </c>
      <c r="E36" s="15">
        <v>45384</v>
      </c>
      <c r="F36" s="10" t="s">
        <v>66</v>
      </c>
      <c r="G36" s="16">
        <v>0.2</v>
      </c>
      <c r="H36" s="10" t="s">
        <v>161</v>
      </c>
    </row>
    <row r="37" spans="1:8" x14ac:dyDescent="0.3">
      <c r="A37" s="10" t="s">
        <v>162</v>
      </c>
      <c r="B37" s="10" t="s">
        <v>163</v>
      </c>
      <c r="C37" s="10" t="s">
        <v>65</v>
      </c>
      <c r="D37" s="15">
        <v>45369</v>
      </c>
      <c r="E37" s="15">
        <v>45385</v>
      </c>
      <c r="F37" s="10" t="s">
        <v>53</v>
      </c>
      <c r="G37" s="16">
        <v>0.45</v>
      </c>
      <c r="H37" s="10" t="s">
        <v>164</v>
      </c>
    </row>
    <row r="38" spans="1:8" x14ac:dyDescent="0.3">
      <c r="A38" s="10" t="s">
        <v>165</v>
      </c>
      <c r="B38" s="10" t="s">
        <v>166</v>
      </c>
      <c r="C38" s="10" t="s">
        <v>52</v>
      </c>
      <c r="D38" s="15">
        <v>45371</v>
      </c>
      <c r="E38" s="15">
        <v>45387</v>
      </c>
      <c r="F38" s="10" t="s">
        <v>53</v>
      </c>
      <c r="G38" s="16">
        <v>0.4</v>
      </c>
      <c r="H38" s="10" t="s">
        <v>167</v>
      </c>
    </row>
    <row r="39" spans="1:8" x14ac:dyDescent="0.3">
      <c r="A39" s="10" t="s">
        <v>168</v>
      </c>
      <c r="B39" s="10" t="s">
        <v>169</v>
      </c>
      <c r="C39" s="10" t="s">
        <v>57</v>
      </c>
      <c r="D39" s="15">
        <v>45373</v>
      </c>
      <c r="E39" s="15">
        <v>45388</v>
      </c>
      <c r="F39" s="10" t="s">
        <v>53</v>
      </c>
      <c r="G39" s="16">
        <v>0.3</v>
      </c>
      <c r="H39" s="10" t="s">
        <v>170</v>
      </c>
    </row>
    <row r="40" spans="1:8" x14ac:dyDescent="0.3">
      <c r="A40" s="10" t="s">
        <v>171</v>
      </c>
      <c r="B40" s="10" t="s">
        <v>172</v>
      </c>
      <c r="C40" s="10" t="s">
        <v>61</v>
      </c>
      <c r="D40" s="15">
        <v>45375</v>
      </c>
      <c r="E40" s="15">
        <v>45390</v>
      </c>
      <c r="F40" s="10" t="s">
        <v>66</v>
      </c>
      <c r="G40" s="16">
        <v>0.15</v>
      </c>
      <c r="H40" s="10" t="s">
        <v>173</v>
      </c>
    </row>
    <row r="41" spans="1:8" x14ac:dyDescent="0.3">
      <c r="A41" s="10" t="s">
        <v>174</v>
      </c>
      <c r="B41" s="10" t="s">
        <v>175</v>
      </c>
      <c r="C41" s="10" t="s">
        <v>65</v>
      </c>
      <c r="D41" s="15">
        <v>45377</v>
      </c>
      <c r="E41" s="15">
        <v>45392</v>
      </c>
      <c r="F41" s="10" t="s">
        <v>66</v>
      </c>
      <c r="G41" s="16">
        <v>0.2</v>
      </c>
      <c r="H41" s="10" t="s">
        <v>176</v>
      </c>
    </row>
    <row r="42" spans="1:8" x14ac:dyDescent="0.3">
      <c r="A42" s="10" t="s">
        <v>177</v>
      </c>
      <c r="B42" s="10" t="s">
        <v>178</v>
      </c>
      <c r="C42" s="10" t="s">
        <v>52</v>
      </c>
      <c r="D42" s="15">
        <v>45379</v>
      </c>
      <c r="E42" s="15">
        <v>45394</v>
      </c>
      <c r="F42" s="10" t="s">
        <v>53</v>
      </c>
      <c r="G42" s="16">
        <v>0.35</v>
      </c>
      <c r="H42" s="10" t="s">
        <v>179</v>
      </c>
    </row>
    <row r="43" spans="1:8" x14ac:dyDescent="0.3">
      <c r="A43" s="10" t="s">
        <v>180</v>
      </c>
      <c r="B43" s="10" t="s">
        <v>181</v>
      </c>
      <c r="C43" s="10" t="s">
        <v>57</v>
      </c>
      <c r="D43" s="15">
        <v>45381</v>
      </c>
      <c r="E43" s="15">
        <v>45397</v>
      </c>
      <c r="F43" s="10" t="s">
        <v>53</v>
      </c>
      <c r="G43" s="16">
        <v>0.45</v>
      </c>
      <c r="H43" s="10" t="s">
        <v>182</v>
      </c>
    </row>
    <row r="44" spans="1:8" x14ac:dyDescent="0.3">
      <c r="A44" s="10" t="s">
        <v>183</v>
      </c>
      <c r="B44" s="10" t="s">
        <v>184</v>
      </c>
      <c r="C44" s="10" t="s">
        <v>61</v>
      </c>
      <c r="D44" s="15">
        <v>45383</v>
      </c>
      <c r="E44" s="15">
        <v>45400</v>
      </c>
      <c r="F44" s="10" t="s">
        <v>66</v>
      </c>
      <c r="G44" s="16">
        <v>0.2</v>
      </c>
      <c r="H44" s="10" t="s">
        <v>185</v>
      </c>
    </row>
    <row r="45" spans="1:8" x14ac:dyDescent="0.3">
      <c r="A45" s="10" t="s">
        <v>186</v>
      </c>
      <c r="B45" s="10" t="s">
        <v>187</v>
      </c>
      <c r="C45" s="10" t="s">
        <v>65</v>
      </c>
      <c r="D45" s="15">
        <v>45385</v>
      </c>
      <c r="E45" s="15">
        <v>45402</v>
      </c>
      <c r="F45" s="10" t="s">
        <v>53</v>
      </c>
      <c r="G45" s="16">
        <v>0.3</v>
      </c>
      <c r="H45" s="10" t="s">
        <v>188</v>
      </c>
    </row>
    <row r="46" spans="1:8" x14ac:dyDescent="0.3">
      <c r="A46" s="10" t="s">
        <v>189</v>
      </c>
      <c r="B46" s="10" t="s">
        <v>190</v>
      </c>
      <c r="C46" s="10" t="s">
        <v>52</v>
      </c>
      <c r="D46" s="15">
        <v>45387</v>
      </c>
      <c r="E46" s="15">
        <v>45404</v>
      </c>
      <c r="F46" s="10" t="s">
        <v>53</v>
      </c>
      <c r="G46" s="16">
        <v>0.4</v>
      </c>
      <c r="H46" s="10" t="s">
        <v>191</v>
      </c>
    </row>
    <row r="47" spans="1:8" x14ac:dyDescent="0.3">
      <c r="A47" s="10" t="s">
        <v>192</v>
      </c>
      <c r="B47" s="10" t="s">
        <v>193</v>
      </c>
      <c r="C47" s="10" t="s">
        <v>57</v>
      </c>
      <c r="D47" s="15">
        <v>45389</v>
      </c>
      <c r="E47" s="15">
        <v>45407</v>
      </c>
      <c r="F47" s="10" t="s">
        <v>66</v>
      </c>
      <c r="G47" s="16">
        <v>0.2</v>
      </c>
      <c r="H47" s="10" t="s">
        <v>194</v>
      </c>
    </row>
    <row r="48" spans="1:8" x14ac:dyDescent="0.3">
      <c r="A48" s="10" t="s">
        <v>195</v>
      </c>
      <c r="B48" s="10" t="s">
        <v>196</v>
      </c>
      <c r="C48" s="10" t="s">
        <v>61</v>
      </c>
      <c r="D48" s="15">
        <v>45391</v>
      </c>
      <c r="E48" s="15">
        <v>45409</v>
      </c>
      <c r="F48" s="10" t="s">
        <v>66</v>
      </c>
      <c r="G48" s="16">
        <v>0.15</v>
      </c>
      <c r="H48" s="10" t="s">
        <v>197</v>
      </c>
    </row>
    <row r="49" spans="1:8" x14ac:dyDescent="0.3">
      <c r="A49" s="10" t="s">
        <v>198</v>
      </c>
      <c r="B49" s="10" t="s">
        <v>199</v>
      </c>
      <c r="C49" s="10" t="s">
        <v>65</v>
      </c>
      <c r="D49" s="15">
        <v>45393</v>
      </c>
      <c r="E49" s="15">
        <v>45410</v>
      </c>
      <c r="F49" s="10" t="s">
        <v>53</v>
      </c>
      <c r="G49" s="16">
        <v>0.35</v>
      </c>
      <c r="H49" s="10" t="s">
        <v>200</v>
      </c>
    </row>
    <row r="50" spans="1:8" x14ac:dyDescent="0.3">
      <c r="A50" s="10" t="s">
        <v>201</v>
      </c>
      <c r="B50" s="10" t="s">
        <v>202</v>
      </c>
      <c r="C50" s="10" t="s">
        <v>52</v>
      </c>
      <c r="D50" s="15">
        <v>45395</v>
      </c>
      <c r="E50" s="15">
        <v>45412</v>
      </c>
      <c r="F50" s="10" t="s">
        <v>66</v>
      </c>
      <c r="G50" s="16">
        <v>0.1</v>
      </c>
      <c r="H50" s="10" t="s">
        <v>203</v>
      </c>
    </row>
    <row r="51" spans="1:8" x14ac:dyDescent="0.3">
      <c r="A51" s="10" t="s">
        <v>204</v>
      </c>
      <c r="B51" s="10" t="s">
        <v>205</v>
      </c>
      <c r="C51" s="10" t="s">
        <v>57</v>
      </c>
      <c r="D51" s="15">
        <v>45397</v>
      </c>
      <c r="E51" s="15">
        <v>45417</v>
      </c>
      <c r="F51" s="10" t="s">
        <v>66</v>
      </c>
      <c r="G51" s="16">
        <v>0.05</v>
      </c>
      <c r="H51" s="10" t="s">
        <v>206</v>
      </c>
    </row>
  </sheetData>
  <conditionalFormatting sqref="D2:E51">
    <cfRule type="timePeriod" dxfId="0" priority="2" timePeriod="nextWeek">
      <formula>AND(ROUNDDOWN(D2,0)-TODAY()&gt;(7-WEEKDAY(TODAY())),ROUNDDOWN(D2,0)-TODAY()&lt;(15-WEEKDAY(TODAY())))</formula>
    </cfRule>
    <cfRule type="timePeriod" dxfId="1" priority="1" timePeriod="nextWeek">
      <formula>AND(ROUNDDOWN(D2,0)-TODAY()&gt;(7-WEEKDAY(TODAY())),ROUNDDOWN(D2,0)-TODAY()&lt;(15-WEEKDAY(TODAY())))</formula>
    </cfRule>
  </conditionalFormatting>
  <dataValidations count="1">
    <dataValidation type="list" allowBlank="1" showInputMessage="1" showErrorMessage="1" sqref="F2:F51" xr:uid="{D59DECB4-9656-4B0A-B9FE-15E919B40DD7}">
      <formula1>"Not Started,In Progress,Completed,On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DF29-EA1D-4799-ACEC-150CB169A830}">
  <dimension ref="A1:F15"/>
  <sheetViews>
    <sheetView workbookViewId="0">
      <selection activeCell="E19" sqref="E19"/>
    </sheetView>
  </sheetViews>
  <sheetFormatPr defaultRowHeight="14.4" x14ac:dyDescent="0.3"/>
  <cols>
    <col min="1" max="1" width="16.21875" bestFit="1" customWidth="1"/>
    <col min="2" max="2" width="11.44140625" customWidth="1"/>
    <col min="3" max="3" width="12.109375" customWidth="1"/>
    <col min="4" max="4" width="16" customWidth="1"/>
    <col min="5" max="5" width="12.33203125" customWidth="1"/>
    <col min="6" max="6" width="10.21875" bestFit="1" customWidth="1"/>
  </cols>
  <sheetData>
    <row r="1" spans="1:6" x14ac:dyDescent="0.3">
      <c r="A1" s="9" t="s">
        <v>207</v>
      </c>
      <c r="B1" s="9" t="s">
        <v>208</v>
      </c>
      <c r="C1" s="9" t="s">
        <v>209</v>
      </c>
      <c r="D1" s="9" t="s">
        <v>210</v>
      </c>
      <c r="E1" s="9" t="s">
        <v>211</v>
      </c>
      <c r="F1" s="9" t="s">
        <v>212</v>
      </c>
    </row>
    <row r="2" spans="1:6" x14ac:dyDescent="0.3">
      <c r="A2" s="10" t="s">
        <v>213</v>
      </c>
      <c r="B2" s="11">
        <v>10000</v>
      </c>
      <c r="C2" s="11">
        <v>9500</v>
      </c>
      <c r="D2" s="11">
        <v>9800</v>
      </c>
      <c r="E2" s="7">
        <f>(C2+D2)/2 - B2</f>
        <v>-350</v>
      </c>
      <c r="F2" s="17">
        <f>E2/B2</f>
        <v>-3.5000000000000003E-2</v>
      </c>
    </row>
    <row r="3" spans="1:6" x14ac:dyDescent="0.3">
      <c r="A3" s="10" t="s">
        <v>214</v>
      </c>
      <c r="B3" s="11">
        <v>50000</v>
      </c>
      <c r="C3" s="11">
        <v>52000</v>
      </c>
      <c r="D3" s="11">
        <v>51000</v>
      </c>
      <c r="E3" s="7">
        <f t="shared" ref="E3:E11" si="0">(C3+D3)/2 - B3</f>
        <v>1500</v>
      </c>
      <c r="F3" s="17">
        <f t="shared" ref="F3:F11" si="1">E3/B3</f>
        <v>0.03</v>
      </c>
    </row>
    <row r="4" spans="1:6" x14ac:dyDescent="0.3">
      <c r="A4" s="10" t="s">
        <v>215</v>
      </c>
      <c r="B4" s="11">
        <v>2000</v>
      </c>
      <c r="C4" s="11">
        <v>1800</v>
      </c>
      <c r="D4" s="11">
        <v>2100</v>
      </c>
      <c r="E4" s="7">
        <f t="shared" si="0"/>
        <v>-50</v>
      </c>
      <c r="F4" s="17">
        <f t="shared" si="1"/>
        <v>-2.5000000000000001E-2</v>
      </c>
    </row>
    <row r="5" spans="1:6" x14ac:dyDescent="0.3">
      <c r="A5" s="10" t="s">
        <v>216</v>
      </c>
      <c r="B5" s="11">
        <v>8000</v>
      </c>
      <c r="C5" s="11">
        <v>7500</v>
      </c>
      <c r="D5" s="11">
        <v>8200</v>
      </c>
      <c r="E5" s="7">
        <f t="shared" si="0"/>
        <v>-150</v>
      </c>
      <c r="F5" s="17">
        <f t="shared" si="1"/>
        <v>-1.8749999999999999E-2</v>
      </c>
    </row>
    <row r="6" spans="1:6" x14ac:dyDescent="0.3">
      <c r="A6" s="10" t="s">
        <v>217</v>
      </c>
      <c r="B6" s="11">
        <v>5000</v>
      </c>
      <c r="C6" s="11">
        <v>3000</v>
      </c>
      <c r="D6" s="11">
        <v>4500</v>
      </c>
      <c r="E6" s="7">
        <f t="shared" si="0"/>
        <v>-1250</v>
      </c>
      <c r="F6" s="17">
        <f t="shared" si="1"/>
        <v>-0.25</v>
      </c>
    </row>
    <row r="7" spans="1:6" x14ac:dyDescent="0.3">
      <c r="A7" s="10" t="s">
        <v>218</v>
      </c>
      <c r="B7" s="11">
        <v>6000</v>
      </c>
      <c r="C7" s="11">
        <v>2800</v>
      </c>
      <c r="D7" s="11">
        <v>3500</v>
      </c>
      <c r="E7" s="7">
        <f t="shared" si="0"/>
        <v>-2850</v>
      </c>
      <c r="F7" s="17">
        <f t="shared" si="1"/>
        <v>-0.47499999999999998</v>
      </c>
    </row>
    <row r="8" spans="1:6" x14ac:dyDescent="0.3">
      <c r="A8" s="10" t="s">
        <v>219</v>
      </c>
      <c r="B8" s="11">
        <v>4000</v>
      </c>
      <c r="C8" s="11">
        <v>1500</v>
      </c>
      <c r="D8" s="11">
        <v>2000</v>
      </c>
      <c r="E8" s="7">
        <f t="shared" si="0"/>
        <v>-2250</v>
      </c>
      <c r="F8" s="17">
        <f t="shared" si="1"/>
        <v>-0.5625</v>
      </c>
    </row>
    <row r="9" spans="1:6" x14ac:dyDescent="0.3">
      <c r="A9" s="10" t="s">
        <v>220</v>
      </c>
      <c r="B9" s="11">
        <v>3500</v>
      </c>
      <c r="C9" s="11">
        <v>1700</v>
      </c>
      <c r="D9" s="11">
        <v>2200</v>
      </c>
      <c r="E9" s="7">
        <f t="shared" si="0"/>
        <v>-1550</v>
      </c>
      <c r="F9" s="17">
        <f t="shared" si="1"/>
        <v>-0.44285714285714284</v>
      </c>
    </row>
    <row r="10" spans="1:6" x14ac:dyDescent="0.3">
      <c r="A10" s="10" t="s">
        <v>221</v>
      </c>
      <c r="B10" s="11">
        <v>7000</v>
      </c>
      <c r="C10" s="11">
        <v>3200</v>
      </c>
      <c r="D10" s="11">
        <v>3600</v>
      </c>
      <c r="E10" s="7">
        <f t="shared" si="0"/>
        <v>-3600</v>
      </c>
      <c r="F10" s="17">
        <f t="shared" si="1"/>
        <v>-0.51428571428571423</v>
      </c>
    </row>
    <row r="11" spans="1:6" x14ac:dyDescent="0.3">
      <c r="A11" s="10" t="s">
        <v>222</v>
      </c>
      <c r="B11" s="11">
        <v>2500</v>
      </c>
      <c r="C11" s="11">
        <v>1100</v>
      </c>
      <c r="D11" s="11">
        <v>1300</v>
      </c>
      <c r="E11" s="7">
        <f t="shared" si="0"/>
        <v>-1300</v>
      </c>
      <c r="F11" s="17">
        <f t="shared" si="1"/>
        <v>-0.52</v>
      </c>
    </row>
    <row r="12" spans="1:6" x14ac:dyDescent="0.3">
      <c r="A12" s="3" t="s">
        <v>223</v>
      </c>
      <c r="B12" s="14">
        <f>SUM(B2:B6)</f>
        <v>75000</v>
      </c>
    </row>
    <row r="13" spans="1:6" x14ac:dyDescent="0.3">
      <c r="A13" s="3" t="s">
        <v>224</v>
      </c>
      <c r="B13" s="3">
        <f>SUM(C2:D6)/2</f>
        <v>74700</v>
      </c>
    </row>
    <row r="14" spans="1:6" x14ac:dyDescent="0.3">
      <c r="A14" s="3" t="s">
        <v>225</v>
      </c>
      <c r="B14" s="14">
        <f>B13-B12</f>
        <v>-300</v>
      </c>
    </row>
    <row r="15" spans="1:6" x14ac:dyDescent="0.3">
      <c r="A15" s="3" t="s">
        <v>226</v>
      </c>
      <c r="B15" s="3">
        <f>MAX(E2:E6)</f>
        <v>1500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EC7AC68-BD3C-469E-8EB9-B638544114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Budget_Analysis!C2:D2</xm:f>
              <xm:sqref>G2</xm:sqref>
            </x14:sparkline>
            <x14:sparkline>
              <xm:f>Budget_Analysis!C3:D3</xm:f>
              <xm:sqref>G3</xm:sqref>
            </x14:sparkline>
            <x14:sparkline>
              <xm:f>Budget_Analysis!C4:D4</xm:f>
              <xm:sqref>G4</xm:sqref>
            </x14:sparkline>
            <x14:sparkline>
              <xm:f>Budget_Analysis!C5:D5</xm:f>
              <xm:sqref>G5</xm:sqref>
            </x14:sparkline>
            <x14:sparkline>
              <xm:f>Budget_Analysis!C6:D6</xm:f>
              <xm:sqref>G6</xm:sqref>
            </x14:sparkline>
            <x14:sparkline>
              <xm:f>Budget_Analysis!C7:D7</xm:f>
              <xm:sqref>G7</xm:sqref>
            </x14:sparkline>
            <x14:sparkline>
              <xm:f>Budget_Analysis!C8:D8</xm:f>
              <xm:sqref>G8</xm:sqref>
            </x14:sparkline>
            <x14:sparkline>
              <xm:f>Budget_Analysis!C9:D9</xm:f>
              <xm:sqref>G9</xm:sqref>
            </x14:sparkline>
            <x14:sparkline>
              <xm:f>Budget_Analysis!C10:D10</xm:f>
              <xm:sqref>G10</xm:sqref>
            </x14:sparkline>
            <x14:sparkline>
              <xm:f>Budget_Analysis!C11:D11</xm:f>
              <xm:sqref>G11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AD14-0935-4B11-868C-C6482678C53D}">
  <dimension ref="A1:F7"/>
  <sheetViews>
    <sheetView tabSelected="1" workbookViewId="0">
      <selection activeCell="J4" sqref="J4"/>
    </sheetView>
  </sheetViews>
  <sheetFormatPr defaultRowHeight="14.4" x14ac:dyDescent="0.3"/>
  <cols>
    <col min="5" max="5" width="16.5546875" bestFit="1" customWidth="1"/>
    <col min="6" max="6" width="13.88671875" bestFit="1" customWidth="1"/>
  </cols>
  <sheetData>
    <row r="1" spans="1:6" ht="23.4" x14ac:dyDescent="0.45">
      <c r="A1" s="18" t="s">
        <v>228</v>
      </c>
      <c r="B1" s="18"/>
      <c r="C1" s="18"/>
      <c r="D1" s="18"/>
      <c r="E1" s="18"/>
      <c r="F1" s="18"/>
    </row>
    <row r="4" spans="1:6" ht="15" x14ac:dyDescent="0.3">
      <c r="E4" s="19" t="s">
        <v>227</v>
      </c>
      <c r="F4" s="19">
        <f>COUNTA(Student_Grades!B2:B6)</f>
        <v>5</v>
      </c>
    </row>
    <row r="5" spans="1:6" ht="15" x14ac:dyDescent="0.3">
      <c r="E5" s="19" t="s">
        <v>229</v>
      </c>
      <c r="F5" s="20">
        <f>Sales_Dashboard!B17</f>
        <v>474100</v>
      </c>
    </row>
    <row r="6" spans="1:6" ht="15" x14ac:dyDescent="0.3">
      <c r="E6" s="19" t="s">
        <v>230</v>
      </c>
      <c r="F6" s="19">
        <f>COUNTIF(Project_Tracker!F2:F6,"In Progress")</f>
        <v>3</v>
      </c>
    </row>
    <row r="7" spans="1:6" ht="15" x14ac:dyDescent="0.3">
      <c r="E7" s="19" t="s">
        <v>231</v>
      </c>
      <c r="F7" s="19" t="str">
        <f>IF(Budget_Analysis!B14&gt;=0,"On Track","Over Budget")</f>
        <v>Over Budget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Student_Grades</vt:lpstr>
      <vt:lpstr>Sales_Dashboard</vt:lpstr>
      <vt:lpstr>Sales_Analysis</vt:lpstr>
      <vt:lpstr>Project_Tracker</vt:lpstr>
      <vt:lpstr>Budget_Analysis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TUYISHIMIRE</dc:creator>
  <cp:lastModifiedBy>Etienne TUYISHIMIRE</cp:lastModifiedBy>
  <dcterms:created xsi:type="dcterms:W3CDTF">2026-02-07T16:20:52Z</dcterms:created>
  <dcterms:modified xsi:type="dcterms:W3CDTF">2026-02-07T17:57:44Z</dcterms:modified>
</cp:coreProperties>
</file>