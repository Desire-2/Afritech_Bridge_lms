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ette\Downloads\"/>
    </mc:Choice>
  </mc:AlternateContent>
  <xr:revisionPtr revIDLastSave="0" documentId="13_ncr:1_{CB025DA3-0CAE-4D95-BC53-CC01F34F163B}" xr6:coauthVersionLast="47" xr6:coauthVersionMax="47" xr10:uidLastSave="{00000000-0000-0000-0000-000000000000}"/>
  <bookViews>
    <workbookView xWindow="-110" yWindow="-110" windowWidth="19420" windowHeight="10420" firstSheet="1" activeTab="2" xr2:uid="{CF878869-D3B1-4CD2-A58B-9A0D5CECA7C0}"/>
  </bookViews>
  <sheets>
    <sheet name="Aggregation functions" sheetId="1" r:id="rId1"/>
    <sheet name="Manipulation functions" sheetId="2" r:id="rId2"/>
    <sheet name="Lookup func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1" i="3"/>
  <c r="A10" i="3"/>
  <c r="A12" i="3"/>
  <c r="A14" i="3"/>
  <c r="A13" i="3"/>
  <c r="A11" i="3"/>
  <c r="B13" i="2"/>
  <c r="A13" i="2"/>
  <c r="A14" i="2"/>
  <c r="B14" i="2"/>
  <c r="B13" i="1"/>
  <c r="B14" i="1"/>
  <c r="B17" i="1"/>
  <c r="B15" i="1"/>
  <c r="B12" i="1"/>
  <c r="B16" i="1"/>
  <c r="B18" i="1"/>
</calcChain>
</file>

<file path=xl/sharedStrings.xml><?xml version="1.0" encoding="utf-8"?>
<sst xmlns="http://schemas.openxmlformats.org/spreadsheetml/2006/main" count="36" uniqueCount="29">
  <si>
    <t>Region</t>
  </si>
  <si>
    <t>Sales</t>
  </si>
  <si>
    <t>East</t>
  </si>
  <si>
    <t>West</t>
  </si>
  <si>
    <t>North</t>
  </si>
  <si>
    <t>South</t>
  </si>
  <si>
    <t>Kigali</t>
  </si>
  <si>
    <t>Revenue</t>
  </si>
  <si>
    <t>kigali</t>
  </si>
  <si>
    <t>west</t>
  </si>
  <si>
    <t>Total revenue</t>
  </si>
  <si>
    <t>Average revenue</t>
  </si>
  <si>
    <t>Number of times sales sold in East</t>
  </si>
  <si>
    <t>Number of times sales sold in West</t>
  </si>
  <si>
    <t>Number of times sales sold in  north</t>
  </si>
  <si>
    <t>Number of times sales sold in kigali</t>
  </si>
  <si>
    <t>Number of times sales sold in south</t>
  </si>
  <si>
    <t xml:space="preserve">RESULTS </t>
  </si>
  <si>
    <t>Full names</t>
  </si>
  <si>
    <t>Janet uwase</t>
  </si>
  <si>
    <t>Results</t>
  </si>
  <si>
    <t>First name</t>
  </si>
  <si>
    <t>Last name</t>
  </si>
  <si>
    <t>Janet</t>
  </si>
  <si>
    <t>Uwase</t>
  </si>
  <si>
    <t>Product</t>
  </si>
  <si>
    <t>Sugar</t>
  </si>
  <si>
    <t>Rice</t>
  </si>
  <si>
    <t>Posho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</si>
</sst>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F&quot;* #,##0_-;\-&quot;RF&quot;* #,##0_-;_-&quot;RF&quot;* &quot;-&quot;_-;_-@_-"/>
    <numFmt numFmtId="165" formatCode="&quot;RF&quot;#,##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42" fontId="0" fillId="0" borderId="1" xfId="0" applyNumberFormat="1" applyBorder="1"/>
    <xf numFmtId="14" fontId="0" fillId="0" borderId="0" xfId="0" applyNumberFormat="1"/>
    <xf numFmtId="0" fontId="0" fillId="0" borderId="0" xfId="0" applyAlignment="1"/>
    <xf numFmtId="0" fontId="0" fillId="3" borderId="0" xfId="0" applyFill="1" applyAlignment="1">
      <alignment horizontal="center"/>
    </xf>
    <xf numFmtId="165" fontId="0" fillId="0" borderId="1" xfId="0" applyNumberFormat="1" applyBorder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DF95-E45F-4DF3-956D-418FADC9A178}">
  <dimension ref="A1:B18"/>
  <sheetViews>
    <sheetView topLeftCell="A3" workbookViewId="0">
      <selection activeCell="E12" sqref="E12"/>
    </sheetView>
  </sheetViews>
  <sheetFormatPr defaultRowHeight="14.5" x14ac:dyDescent="0.35"/>
  <cols>
    <col min="1" max="1" width="30.36328125" customWidth="1"/>
  </cols>
  <sheetData>
    <row r="1" spans="1:2" x14ac:dyDescent="0.35">
      <c r="A1" s="1" t="s">
        <v>0</v>
      </c>
      <c r="B1" s="2" t="s">
        <v>7</v>
      </c>
    </row>
    <row r="2" spans="1:2" x14ac:dyDescent="0.35">
      <c r="A2" s="1" t="s">
        <v>2</v>
      </c>
      <c r="B2" s="6">
        <v>2000</v>
      </c>
    </row>
    <row r="3" spans="1:2" x14ac:dyDescent="0.35">
      <c r="A3" s="1" t="s">
        <v>3</v>
      </c>
      <c r="B3" s="6">
        <v>3000</v>
      </c>
    </row>
    <row r="4" spans="1:2" x14ac:dyDescent="0.35">
      <c r="A4" s="1" t="s">
        <v>4</v>
      </c>
      <c r="B4" s="6">
        <v>4000</v>
      </c>
    </row>
    <row r="5" spans="1:2" x14ac:dyDescent="0.35">
      <c r="A5" s="1" t="s">
        <v>5</v>
      </c>
      <c r="B5" s="6">
        <v>5000</v>
      </c>
    </row>
    <row r="6" spans="1:2" x14ac:dyDescent="0.35">
      <c r="A6" s="1" t="s">
        <v>6</v>
      </c>
      <c r="B6" s="6">
        <v>6000</v>
      </c>
    </row>
    <row r="7" spans="1:2" x14ac:dyDescent="0.35">
      <c r="A7" s="1" t="s">
        <v>2</v>
      </c>
      <c r="B7" s="6">
        <v>6000</v>
      </c>
    </row>
    <row r="8" spans="1:2" x14ac:dyDescent="0.35">
      <c r="A8" s="1" t="s">
        <v>8</v>
      </c>
      <c r="B8" s="6">
        <v>2000</v>
      </c>
    </row>
    <row r="9" spans="1:2" x14ac:dyDescent="0.35">
      <c r="A9" s="1" t="s">
        <v>9</v>
      </c>
      <c r="B9" s="6">
        <v>3000</v>
      </c>
    </row>
    <row r="10" spans="1:2" x14ac:dyDescent="0.35">
      <c r="A10" s="1" t="s">
        <v>4</v>
      </c>
      <c r="B10" s="6">
        <v>2000</v>
      </c>
    </row>
    <row r="11" spans="1:2" ht="52.5" customHeight="1" x14ac:dyDescent="0.35">
      <c r="A11" s="4" t="s">
        <v>17</v>
      </c>
      <c r="B11" s="5"/>
    </row>
    <row r="12" spans="1:2" x14ac:dyDescent="0.35">
      <c r="A12" s="3" t="s">
        <v>10</v>
      </c>
      <c r="B12" s="1">
        <f>SUM(B2:B10)</f>
        <v>33000</v>
      </c>
    </row>
    <row r="13" spans="1:2" x14ac:dyDescent="0.35">
      <c r="A13" s="3" t="s">
        <v>11</v>
      </c>
      <c r="B13" s="1">
        <f>AVERAGE(B2:B12)</f>
        <v>6600</v>
      </c>
    </row>
    <row r="14" spans="1:2" x14ac:dyDescent="0.35">
      <c r="A14" s="3" t="s">
        <v>12</v>
      </c>
      <c r="B14" s="1">
        <f>COUNTIFS(A2:A10,A2)</f>
        <v>2</v>
      </c>
    </row>
    <row r="15" spans="1:2" x14ac:dyDescent="0.35">
      <c r="A15" s="3" t="s">
        <v>13</v>
      </c>
      <c r="B15" s="1">
        <f>COUNTIFS(A3:A12,A3)</f>
        <v>2</v>
      </c>
    </row>
    <row r="16" spans="1:2" x14ac:dyDescent="0.35">
      <c r="A16" s="3" t="s">
        <v>14</v>
      </c>
      <c r="B16" s="1">
        <f>COUNTIFS(A4:A13,A4)</f>
        <v>2</v>
      </c>
    </row>
    <row r="17" spans="1:2" x14ac:dyDescent="0.35">
      <c r="A17" s="3" t="s">
        <v>16</v>
      </c>
      <c r="B17" s="1">
        <f>COUNTIFS(A5:A14,A5)</f>
        <v>1</v>
      </c>
    </row>
    <row r="18" spans="1:2" x14ac:dyDescent="0.35">
      <c r="A18" s="3" t="s">
        <v>15</v>
      </c>
      <c r="B18" s="1">
        <f>COUNTIFS(A6:A15,A6)</f>
        <v>2</v>
      </c>
    </row>
  </sheetData>
  <mergeCells count="1"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EB87-83AE-4DFB-9933-74BE3829631C}">
  <dimension ref="A1:D14"/>
  <sheetViews>
    <sheetView workbookViewId="0">
      <selection activeCell="D9" sqref="D9"/>
    </sheetView>
  </sheetViews>
  <sheetFormatPr defaultRowHeight="14.5" x14ac:dyDescent="0.35"/>
  <cols>
    <col min="1" max="1" width="17.1796875" customWidth="1"/>
    <col min="2" max="2" width="12.54296875" customWidth="1"/>
    <col min="4" max="4" width="10.453125" bestFit="1" customWidth="1"/>
  </cols>
  <sheetData>
    <row r="1" spans="1:4" x14ac:dyDescent="0.35">
      <c r="A1" t="s">
        <v>18</v>
      </c>
      <c r="B1" t="s">
        <v>21</v>
      </c>
      <c r="C1" t="s">
        <v>22</v>
      </c>
    </row>
    <row r="2" spans="1:4" x14ac:dyDescent="0.35">
      <c r="A2" t="s">
        <v>19</v>
      </c>
      <c r="B2" t="s">
        <v>24</v>
      </c>
      <c r="C2" t="s">
        <v>23</v>
      </c>
      <c r="D2" s="7"/>
    </row>
    <row r="12" spans="1:4" ht="54.5" customHeight="1" x14ac:dyDescent="0.35">
      <c r="A12" s="9" t="s">
        <v>20</v>
      </c>
      <c r="B12" s="9"/>
    </row>
    <row r="13" spans="1:4" x14ac:dyDescent="0.35">
      <c r="A13" t="str">
        <f>TRIM(A2)</f>
        <v>Janet uwase</v>
      </c>
      <c r="B13" t="str">
        <f>_xlfn.CONCAT(B2," ",C2)</f>
        <v>Uwase Janet</v>
      </c>
    </row>
    <row r="14" spans="1:4" x14ac:dyDescent="0.35">
      <c r="A14" t="str">
        <f>LEFT(C2,2)</f>
        <v>Ja</v>
      </c>
      <c r="B14" t="str">
        <f>RIGHT(C2,3)</f>
        <v>net</v>
      </c>
    </row>
  </sheetData>
  <mergeCells count="1"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636F-C53C-40AE-801C-C91A1CE771DE}">
  <dimension ref="A1:C14"/>
  <sheetViews>
    <sheetView tabSelected="1" workbookViewId="0">
      <selection activeCell="C16" sqref="C16"/>
    </sheetView>
  </sheetViews>
  <sheetFormatPr defaultRowHeight="14.5" x14ac:dyDescent="0.35"/>
  <sheetData>
    <row r="1" spans="1:3" x14ac:dyDescent="0.35">
      <c r="A1" s="1" t="s">
        <v>0</v>
      </c>
      <c r="B1" s="1" t="s">
        <v>25</v>
      </c>
      <c r="C1" s="1" t="s">
        <v>1</v>
      </c>
    </row>
    <row r="2" spans="1:3" x14ac:dyDescent="0.35">
      <c r="A2" s="1" t="s">
        <v>3</v>
      </c>
      <c r="B2" s="1" t="s">
        <v>26</v>
      </c>
      <c r="C2" s="10">
        <v>3000</v>
      </c>
    </row>
    <row r="3" spans="1:3" x14ac:dyDescent="0.35">
      <c r="A3" s="1" t="s">
        <v>4</v>
      </c>
      <c r="B3" s="1" t="s">
        <v>27</v>
      </c>
      <c r="C3" s="10">
        <v>1500</v>
      </c>
    </row>
    <row r="4" spans="1:3" x14ac:dyDescent="0.35">
      <c r="A4" s="1" t="s">
        <v>5</v>
      </c>
      <c r="B4" s="1" t="s">
        <v>28</v>
      </c>
      <c r="C4" s="10">
        <v>1200</v>
      </c>
    </row>
    <row r="9" spans="1:3" ht="39.5" customHeight="1" x14ac:dyDescent="0.35">
      <c r="A9" s="11" t="s">
        <v>20</v>
      </c>
      <c r="B9" s="11"/>
      <c r="C9" s="11"/>
    </row>
    <row r="10" spans="1:3" x14ac:dyDescent="0.35">
      <c r="A10">
        <f>VLOOKUP("west",A2:C4, 3, FALSE)</f>
        <v>3000</v>
      </c>
      <c r="B10">
        <f>MATCH("West",A2:A4,0)</f>
        <v>1</v>
      </c>
    </row>
    <row r="11" spans="1:3" x14ac:dyDescent="0.35">
      <c r="A11">
        <f>VLOOKUP("North",A3:C5, 3, FALSE)</f>
        <v>1500</v>
      </c>
      <c r="B11">
        <f>INDEX(C2:C4,2)</f>
        <v>1500</v>
      </c>
    </row>
    <row r="12" spans="1:3" x14ac:dyDescent="0.35">
      <c r="A12">
        <f>VLOOKUP("South",A4:C6, 3, FALSE)</f>
        <v>1200</v>
      </c>
    </row>
    <row r="13" spans="1:3" x14ac:dyDescent="0.35">
      <c r="A13">
        <f>SUMIFS(C2:C4,A2:A4,"west",B2:B4,"sugar")</f>
        <v>3000</v>
      </c>
    </row>
    <row r="14" spans="1:3" x14ac:dyDescent="0.35">
      <c r="A14" s="8">
        <f>HLOOKUP("Sales",A1:C4,3,FALSE)</f>
        <v>1500</v>
      </c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Aggregation functions</vt:lpstr>
      <vt:lpstr>Manipulation functions</vt:lpstr>
      <vt:lpstr>Lookup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Jeanette</dc:creator>
  <cp:lastModifiedBy>Jeanette</cp:lastModifiedBy>
  <dcterms:created xsi:type="dcterms:W3CDTF">2026-02-04T14:19:32Z</dcterms:created>
  <dcterms:modified xsi:type="dcterms:W3CDTF">2026-02-04T21:00:24Z</dcterms:modified>
</cp:coreProperties>
</file>